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566DED26-D4FF-4808-9691-5A0AE2CFC7A4}" xr6:coauthVersionLast="47" xr6:coauthVersionMax="47" xr10:uidLastSave="{00000000-0000-0000-0000-000000000000}"/>
  <bookViews>
    <workbookView xWindow="-110" yWindow="-110" windowWidth="25820" windowHeight="15500" tabRatio="735" activeTab="4" xr2:uid="{CD6056EF-3058-45B7-9F88-57E1F45B0CAE}"/>
  </bookViews>
  <sheets>
    <sheet name="ONAQ" sheetId="1" r:id="rId1"/>
    <sheet name="ONAQ1" sheetId="2" r:id="rId2"/>
    <sheet name="ONAQ2" sheetId="3" r:id="rId3"/>
    <sheet name="ONAQ3" sheetId="4" r:id="rId4"/>
    <sheet name="ONAQ4" sheetId="5" r:id="rId5"/>
    <sheet name="ONAQ5" sheetId="6" r:id="rId6"/>
    <sheet name="ONAQ6" sheetId="7" r:id="rId7"/>
    <sheet name="ONAQ7" sheetId="8" r:id="rId8"/>
    <sheet name="ONAQ8" sheetId="9" r:id="rId9"/>
    <sheet name="ONAQ9" sheetId="10" r:id="rId10"/>
    <sheet name="ONAQ10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1" l="1"/>
  <c r="S2" i="11"/>
  <c r="Q3" i="11"/>
  <c r="Q2" i="11"/>
  <c r="P3" i="11"/>
  <c r="P2" i="11"/>
  <c r="J3" i="11"/>
  <c r="H3" i="11"/>
  <c r="I3" i="11" s="1"/>
  <c r="G3" i="11"/>
  <c r="J2" i="11"/>
  <c r="H2" i="11"/>
  <c r="G2" i="11"/>
  <c r="S3" i="10"/>
  <c r="S2" i="10"/>
  <c r="Q3" i="10"/>
  <c r="R3" i="10" s="1"/>
  <c r="Q2" i="10"/>
  <c r="P3" i="10"/>
  <c r="P2" i="10"/>
  <c r="J3" i="10"/>
  <c r="J2" i="10"/>
  <c r="H3" i="10"/>
  <c r="H2" i="10"/>
  <c r="G3" i="10"/>
  <c r="G2" i="10"/>
  <c r="J3" i="9"/>
  <c r="J2" i="9"/>
  <c r="H3" i="9"/>
  <c r="H2" i="9"/>
  <c r="G3" i="9"/>
  <c r="G2" i="9"/>
  <c r="S3" i="9"/>
  <c r="Q3" i="9"/>
  <c r="R3" i="9" s="1"/>
  <c r="P3" i="9"/>
  <c r="S2" i="9"/>
  <c r="Q2" i="9"/>
  <c r="P2" i="9"/>
  <c r="J3" i="8"/>
  <c r="H3" i="8"/>
  <c r="G3" i="8"/>
  <c r="J2" i="8"/>
  <c r="H2" i="8"/>
  <c r="G2" i="8"/>
  <c r="P2" i="8"/>
  <c r="S3" i="8"/>
  <c r="Q3" i="8"/>
  <c r="R3" i="8" s="1"/>
  <c r="P3" i="8"/>
  <c r="S2" i="8"/>
  <c r="Q2" i="8"/>
  <c r="J3" i="7"/>
  <c r="H3" i="7"/>
  <c r="G3" i="7"/>
  <c r="J2" i="7"/>
  <c r="H2" i="7"/>
  <c r="G2" i="7"/>
  <c r="S3" i="7"/>
  <c r="R3" i="7"/>
  <c r="Q3" i="7"/>
  <c r="P3" i="7"/>
  <c r="S2" i="7"/>
  <c r="R2" i="7"/>
  <c r="Q2" i="7"/>
  <c r="P2" i="7"/>
  <c r="S3" i="6"/>
  <c r="S2" i="6"/>
  <c r="Q3" i="6"/>
  <c r="Q2" i="6"/>
  <c r="P3" i="6"/>
  <c r="P2" i="6"/>
  <c r="J2" i="6"/>
  <c r="J3" i="6"/>
  <c r="H3" i="6"/>
  <c r="H2" i="6"/>
  <c r="G3" i="6"/>
  <c r="G2" i="6"/>
  <c r="J3" i="5"/>
  <c r="J2" i="5"/>
  <c r="H3" i="5"/>
  <c r="H2" i="5"/>
  <c r="G3" i="5"/>
  <c r="G2" i="5"/>
  <c r="S3" i="5"/>
  <c r="Q3" i="5"/>
  <c r="R3" i="5" s="1"/>
  <c r="P3" i="5"/>
  <c r="S2" i="5"/>
  <c r="Q2" i="5"/>
  <c r="R2" i="5" s="1"/>
  <c r="P2" i="5"/>
  <c r="S3" i="4"/>
  <c r="R3" i="4"/>
  <c r="Q3" i="4"/>
  <c r="P3" i="4"/>
  <c r="J3" i="4"/>
  <c r="H3" i="4"/>
  <c r="I3" i="4" s="1"/>
  <c r="G3" i="4"/>
  <c r="S2" i="4"/>
  <c r="R2" i="4"/>
  <c r="Q2" i="4"/>
  <c r="P2" i="4"/>
  <c r="J2" i="4"/>
  <c r="H2" i="4"/>
  <c r="I2" i="4" s="1"/>
  <c r="G2" i="4"/>
  <c r="S3" i="3"/>
  <c r="S2" i="3"/>
  <c r="Q3" i="3"/>
  <c r="Q2" i="3"/>
  <c r="P3" i="3"/>
  <c r="P2" i="3"/>
  <c r="I3" i="3"/>
  <c r="I2" i="3"/>
  <c r="J3" i="3"/>
  <c r="J2" i="3"/>
  <c r="H3" i="3"/>
  <c r="H2" i="3"/>
  <c r="G3" i="3"/>
  <c r="G2" i="3"/>
  <c r="R3" i="2"/>
  <c r="R2" i="2"/>
  <c r="S3" i="2"/>
  <c r="S2" i="2"/>
  <c r="Q2" i="2"/>
  <c r="Q3" i="2"/>
  <c r="H3" i="2"/>
  <c r="H2" i="2"/>
  <c r="P3" i="2"/>
  <c r="P2" i="2"/>
  <c r="M54" i="2"/>
  <c r="L55" i="2"/>
  <c r="M55" i="2"/>
  <c r="L54" i="2"/>
  <c r="M53" i="2"/>
  <c r="L53" i="2"/>
  <c r="I47" i="2"/>
  <c r="I46" i="2"/>
  <c r="I45" i="2"/>
  <c r="I44" i="2"/>
  <c r="I43" i="2"/>
  <c r="I42" i="2"/>
  <c r="M28" i="2"/>
  <c r="L28" i="2"/>
  <c r="M27" i="2"/>
  <c r="L27" i="2"/>
  <c r="M26" i="2"/>
  <c r="L26" i="2"/>
  <c r="I25" i="2"/>
  <c r="I24" i="2"/>
  <c r="I23" i="2"/>
  <c r="I22" i="2"/>
  <c r="I21" i="2"/>
  <c r="I20" i="2"/>
  <c r="I17" i="2"/>
  <c r="I16" i="2"/>
  <c r="I15" i="2"/>
  <c r="I14" i="2"/>
  <c r="I13" i="2"/>
  <c r="I12" i="2"/>
  <c r="I11" i="2"/>
  <c r="I10" i="2"/>
  <c r="I9" i="2"/>
  <c r="I8" i="2"/>
  <c r="I7" i="2"/>
  <c r="I6" i="2"/>
  <c r="R2" i="11" l="1"/>
  <c r="R3" i="11"/>
  <c r="I2" i="11"/>
  <c r="I3" i="10"/>
  <c r="I2" i="10"/>
  <c r="R2" i="10"/>
  <c r="I3" i="9"/>
  <c r="R2" i="9"/>
  <c r="I2" i="9"/>
  <c r="R2" i="8"/>
  <c r="I3" i="8"/>
  <c r="I2" i="8"/>
  <c r="I2" i="7"/>
  <c r="I3" i="7"/>
  <c r="R3" i="6"/>
  <c r="R2" i="6"/>
  <c r="I2" i="6"/>
  <c r="I3" i="6"/>
  <c r="I3" i="5"/>
  <c r="I2" i="5"/>
  <c r="R3" i="3"/>
  <c r="R2" i="3"/>
  <c r="M29" i="2"/>
  <c r="L29" i="2"/>
  <c r="L56" i="2"/>
  <c r="M56" i="2"/>
</calcChain>
</file>

<file path=xl/sharedStrings.xml><?xml version="1.0" encoding="utf-8"?>
<sst xmlns="http://schemas.openxmlformats.org/spreadsheetml/2006/main" count="1329" uniqueCount="62">
  <si>
    <t>Sample ID</t>
  </si>
  <si>
    <t>Site ID</t>
  </si>
  <si>
    <t>Domain</t>
  </si>
  <si>
    <t>Sample Date</t>
  </si>
  <si>
    <t>ONAQ1</t>
  </si>
  <si>
    <t>ONAQ</t>
  </si>
  <si>
    <t>ONAQ2</t>
  </si>
  <si>
    <t>ONAQ3</t>
  </si>
  <si>
    <t>ONAQ4</t>
  </si>
  <si>
    <t>ONAQ5</t>
  </si>
  <si>
    <t>ONAQ6</t>
  </si>
  <si>
    <t>ONAQ7</t>
  </si>
  <si>
    <t>ONAQ8</t>
  </si>
  <si>
    <t>ONAQ9</t>
  </si>
  <si>
    <t>ONAQ10</t>
  </si>
  <si>
    <t>sampling days</t>
  </si>
  <si>
    <t>Site</t>
  </si>
  <si>
    <t>profile</t>
  </si>
  <si>
    <t>cover (ignore)</t>
  </si>
  <si>
    <t>sample# (depth)</t>
  </si>
  <si>
    <t>temp</t>
  </si>
  <si>
    <t>fractional water content</t>
  </si>
  <si>
    <t>start time</t>
  </si>
  <si>
    <t>datetime</t>
  </si>
  <si>
    <t>end time</t>
  </si>
  <si>
    <t>H2O content</t>
  </si>
  <si>
    <t>d18O</t>
  </si>
  <si>
    <t>d2H</t>
  </si>
  <si>
    <t>Sage</t>
  </si>
  <si>
    <t>nan</t>
  </si>
  <si>
    <t>Grass</t>
  </si>
  <si>
    <t>Bare</t>
  </si>
  <si>
    <t>see file</t>
  </si>
  <si>
    <t>Date</t>
  </si>
  <si>
    <t>Rep</t>
  </si>
  <si>
    <t>Type</t>
  </si>
  <si>
    <t>PicarroJob</t>
  </si>
  <si>
    <t>TCEA</t>
  </si>
  <si>
    <t>TCEAID</t>
  </si>
  <si>
    <t>TECEA2H</t>
  </si>
  <si>
    <t>TCEA2HSD</t>
  </si>
  <si>
    <t>Plant</t>
  </si>
  <si>
    <t>20-076</t>
  </si>
  <si>
    <t>Soil</t>
  </si>
  <si>
    <t>S1-5</t>
  </si>
  <si>
    <t>S1-10</t>
  </si>
  <si>
    <t>S1-15</t>
  </si>
  <si>
    <t>S1-25</t>
  </si>
  <si>
    <t>S1-40</t>
  </si>
  <si>
    <t>S1-60</t>
  </si>
  <si>
    <t>S1-100</t>
  </si>
  <si>
    <t>NaN</t>
  </si>
  <si>
    <t>mean</t>
  </si>
  <si>
    <t>std</t>
  </si>
  <si>
    <t>n</t>
  </si>
  <si>
    <t>SE</t>
  </si>
  <si>
    <t>dSoil 18O</t>
  </si>
  <si>
    <t>dSoil 2H</t>
  </si>
  <si>
    <t>dS18O Summary</t>
  </si>
  <si>
    <t>dS2H Summary</t>
  </si>
  <si>
    <t>dT18O Summary</t>
  </si>
  <si>
    <t>dT2H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</si>
</sst>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\ hh:mm:ss"/>
    <numFmt numFmtId="165" formatCode="0.0"/>
  </numFmts>
  <fonts count="4" x14ac:knownFonts="1">
    <font>
      <sz val="14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2"/>
        <bgColor theme="0"/>
      </patternFill>
    </fill>
    <fill>
      <patternFill patternType="solid">
        <fgColor rgb="FFCCECFF"/>
        <bgColor rgb="FFCCECFF"/>
      </patternFill>
    </fill>
    <fill>
      <patternFill patternType="solid">
        <fgColor theme="6" tint="0.79998168889431442"/>
        <bgColor rgb="FFCCECFF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" fontId="1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22" fontId="1" fillId="0" borderId="3" xfId="0" applyNumberFormat="1" applyFont="1" applyBorder="1" applyAlignment="1">
      <alignment horizontal="center"/>
    </xf>
    <xf numFmtId="14" fontId="1" fillId="3" borderId="3" xfId="0" applyNumberFormat="1" applyFont="1" applyFill="1" applyBorder="1" applyAlignment="1">
      <alignment horizontal="center"/>
    </xf>
    <xf numFmtId="17" fontId="1" fillId="3" borderId="3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22" fontId="1" fillId="3" borderId="3" xfId="0" applyNumberFormat="1" applyFont="1" applyFill="1" applyBorder="1" applyAlignment="1">
      <alignment horizontal="center"/>
    </xf>
    <xf numFmtId="14" fontId="1" fillId="0" borderId="3" xfId="0" applyNumberFormat="1" applyFont="1" applyBorder="1"/>
    <xf numFmtId="0" fontId="1" fillId="0" borderId="3" xfId="0" applyFont="1" applyBorder="1"/>
    <xf numFmtId="17" fontId="1" fillId="0" borderId="3" xfId="0" applyNumberFormat="1" applyFont="1" applyBorder="1"/>
    <xf numFmtId="0" fontId="0" fillId="0" borderId="3" xfId="0" applyBorder="1"/>
    <xf numFmtId="20" fontId="1" fillId="0" borderId="3" xfId="0" applyNumberFormat="1" applyFont="1" applyBorder="1"/>
    <xf numFmtId="22" fontId="1" fillId="0" borderId="3" xfId="0" applyNumberFormat="1" applyFont="1" applyBorder="1"/>
    <xf numFmtId="14" fontId="1" fillId="3" borderId="3" xfId="0" applyNumberFormat="1" applyFont="1" applyFill="1" applyBorder="1"/>
    <xf numFmtId="17" fontId="1" fillId="3" borderId="3" xfId="0" applyNumberFormat="1" applyFont="1" applyFill="1" applyBorder="1"/>
    <xf numFmtId="0" fontId="1" fillId="3" borderId="3" xfId="0" applyFont="1" applyFill="1" applyBorder="1"/>
    <xf numFmtId="0" fontId="0" fillId="3" borderId="3" xfId="0" applyFill="1" applyBorder="1"/>
    <xf numFmtId="20" fontId="1" fillId="3" borderId="3" xfId="0" applyNumberFormat="1" applyFont="1" applyFill="1" applyBorder="1"/>
    <xf numFmtId="22" fontId="1" fillId="3" borderId="3" xfId="0" applyNumberFormat="1" applyFont="1" applyFill="1" applyBorder="1"/>
    <xf numFmtId="14" fontId="1" fillId="4" borderId="3" xfId="0" applyNumberFormat="1" applyFont="1" applyFill="1" applyBorder="1"/>
    <xf numFmtId="17" fontId="1" fillId="4" borderId="3" xfId="0" applyNumberFormat="1" applyFont="1" applyFill="1" applyBorder="1"/>
    <xf numFmtId="0" fontId="1" fillId="4" borderId="3" xfId="0" applyFont="1" applyFill="1" applyBorder="1"/>
    <xf numFmtId="20" fontId="1" fillId="4" borderId="3" xfId="0" applyNumberFormat="1" applyFont="1" applyFill="1" applyBorder="1"/>
    <xf numFmtId="14" fontId="1" fillId="5" borderId="3" xfId="0" applyNumberFormat="1" applyFont="1" applyFill="1" applyBorder="1"/>
    <xf numFmtId="17" fontId="1" fillId="5" borderId="3" xfId="0" applyNumberFormat="1" applyFont="1" applyFill="1" applyBorder="1"/>
    <xf numFmtId="0" fontId="1" fillId="5" borderId="3" xfId="0" applyFont="1" applyFill="1" applyBorder="1"/>
    <xf numFmtId="20" fontId="1" fillId="5" borderId="3" xfId="0" applyNumberFormat="1" applyFont="1" applyFill="1" applyBorder="1"/>
    <xf numFmtId="14" fontId="1" fillId="6" borderId="3" xfId="0" applyNumberFormat="1" applyFont="1" applyFill="1" applyBorder="1"/>
    <xf numFmtId="0" fontId="1" fillId="6" borderId="3" xfId="0" applyFont="1" applyFill="1" applyBorder="1"/>
    <xf numFmtId="20" fontId="1" fillId="6" borderId="3" xfId="0" applyNumberFormat="1" applyFont="1" applyFill="1" applyBorder="1"/>
    <xf numFmtId="14" fontId="1" fillId="7" borderId="3" xfId="0" applyNumberFormat="1" applyFont="1" applyFill="1" applyBorder="1"/>
    <xf numFmtId="0" fontId="1" fillId="7" borderId="3" xfId="0" applyFont="1" applyFill="1" applyBorder="1"/>
    <xf numFmtId="20" fontId="1" fillId="7" borderId="3" xfId="0" applyNumberFormat="1" applyFont="1" applyFill="1" applyBorder="1"/>
    <xf numFmtId="0" fontId="3" fillId="0" borderId="3" xfId="0" applyFont="1" applyBorder="1"/>
    <xf numFmtId="20" fontId="0" fillId="0" borderId="3" xfId="0" applyNumberFormat="1" applyBorder="1"/>
    <xf numFmtId="0" fontId="3" fillId="3" borderId="3" xfId="0" applyFont="1" applyFill="1" applyBorder="1"/>
    <xf numFmtId="20" fontId="0" fillId="3" borderId="3" xfId="0" applyNumberFormat="1" applyFill="1" applyBorder="1"/>
    <xf numFmtId="14" fontId="0" fillId="8" borderId="0" xfId="0" applyNumberFormat="1" applyFill="1"/>
    <xf numFmtId="0" fontId="0" fillId="8" borderId="0" xfId="0" applyFill="1"/>
    <xf numFmtId="165" fontId="0" fillId="8" borderId="0" xfId="0" applyNumberFormat="1" applyFill="1"/>
    <xf numFmtId="165" fontId="0" fillId="8" borderId="4" xfId="0" applyNumberFormat="1" applyFill="1" applyBorder="1"/>
    <xf numFmtId="14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8" borderId="3" xfId="0" applyNumberFormat="1" applyFill="1" applyBorder="1"/>
    <xf numFmtId="0" fontId="0" fillId="8" borderId="3" xfId="0" applyFill="1" applyBorder="1"/>
    <xf numFmtId="165" fontId="0" fillId="8" borderId="3" xfId="0" applyNumberFormat="1" applyFill="1" applyBorder="1"/>
    <xf numFmtId="14" fontId="0" fillId="0" borderId="3" xfId="0" applyNumberFormat="1" applyBorder="1"/>
    <xf numFmtId="14" fontId="1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4" fontId="1" fillId="3" borderId="11" xfId="0" applyNumberFormat="1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14" fontId="1" fillId="3" borderId="13" xfId="0" applyNumberFormat="1" applyFont="1" applyFill="1" applyBorder="1" applyAlignment="1">
      <alignment horizontal="center"/>
    </xf>
    <xf numFmtId="17" fontId="1" fillId="3" borderId="14" xfId="0" applyNumberFormat="1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22" fontId="1" fillId="3" borderId="14" xfId="0" applyNumberFormat="1" applyFon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165" fontId="0" fillId="0" borderId="0" xfId="0" applyNumberFormat="1"/>
    <xf numFmtId="14" fontId="0" fillId="8" borderId="16" xfId="0" applyNumberFormat="1" applyFill="1" applyBorder="1"/>
    <xf numFmtId="0" fontId="0" fillId="0" borderId="17" xfId="0" applyBorder="1"/>
    <xf numFmtId="0" fontId="0" fillId="8" borderId="17" xfId="0" applyFill="1" applyBorder="1"/>
    <xf numFmtId="165" fontId="0" fillId="8" borderId="18" xfId="0" applyNumberFormat="1" applyFill="1" applyBorder="1"/>
    <xf numFmtId="165" fontId="0" fillId="8" borderId="17" xfId="0" applyNumberFormat="1" applyFill="1" applyBorder="1"/>
    <xf numFmtId="14" fontId="0" fillId="0" borderId="17" xfId="0" applyNumberFormat="1" applyBorder="1"/>
    <xf numFmtId="0" fontId="0" fillId="0" borderId="19" xfId="0" applyBorder="1"/>
    <xf numFmtId="14" fontId="0" fillId="8" borderId="20" xfId="0" applyNumberFormat="1" applyFill="1" applyBorder="1"/>
    <xf numFmtId="0" fontId="0" fillId="0" borderId="21" xfId="0" applyBorder="1"/>
    <xf numFmtId="14" fontId="0" fillId="8" borderId="22" xfId="0" applyNumberFormat="1" applyFill="1" applyBorder="1"/>
    <xf numFmtId="0" fontId="0" fillId="0" borderId="23" xfId="0" applyBorder="1"/>
    <xf numFmtId="0" fontId="0" fillId="8" borderId="23" xfId="0" applyFill="1" applyBorder="1"/>
    <xf numFmtId="165" fontId="0" fillId="8" borderId="24" xfId="0" applyNumberFormat="1" applyFill="1" applyBorder="1"/>
    <xf numFmtId="165" fontId="0" fillId="8" borderId="23" xfId="0" applyNumberFormat="1" applyFill="1" applyBorder="1"/>
    <xf numFmtId="14" fontId="0" fillId="0" borderId="23" xfId="0" applyNumberFormat="1" applyBorder="1"/>
    <xf numFmtId="0" fontId="0" fillId="0" borderId="25" xfId="0" applyBorder="1"/>
    <xf numFmtId="0" fontId="0" fillId="0" borderId="17" xfId="0" applyBorder="1" applyAlignment="1">
      <alignment horizontal="center"/>
    </xf>
    <xf numFmtId="0" fontId="0" fillId="0" borderId="23" xfId="0" applyBorder="1" applyAlignment="1">
      <alignment horizontal="center"/>
    </xf>
    <xf numFmtId="165" fontId="0" fillId="9" borderId="3" xfId="0" applyNumberFormat="1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165" fontId="0" fillId="9" borderId="9" xfId="0" applyNumberFormat="1" applyFill="1" applyBorder="1" applyAlignment="1">
      <alignment horizontal="center"/>
    </xf>
    <xf numFmtId="165" fontId="0" fillId="9" borderId="10" xfId="0" applyNumberFormat="1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165" fontId="0" fillId="9" borderId="12" xfId="0" applyNumberFormat="1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/>
    <xf numFmtId="165" fontId="0" fillId="0" borderId="3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F993-FCC0-4501-83FD-067CB2734725}">
  <dimension ref="A1:P11"/>
  <sheetViews>
    <sheetView topLeftCell="B1" workbookViewId="0">
      <selection activeCell="G2" sqref="G2:G11"/>
    </sheetView>
  </sheetViews>
  <sheetFormatPr defaultRowHeight="18.5" x14ac:dyDescent="0.45"/>
  <cols>
    <col min="4" max="4" width="18.78515625" bestFit="1" customWidth="1"/>
  </cols>
  <sheetData>
    <row r="1" spans="1:16" ht="19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05" t="s">
        <v>58</v>
      </c>
      <c r="F1" s="105"/>
      <c r="G1" s="105"/>
      <c r="H1" s="105" t="s">
        <v>59</v>
      </c>
      <c r="I1" s="105"/>
      <c r="J1" s="105"/>
      <c r="K1" s="105" t="s">
        <v>60</v>
      </c>
      <c r="L1" s="105"/>
      <c r="M1" s="105"/>
      <c r="N1" s="105" t="s">
        <v>61</v>
      </c>
      <c r="O1" s="105"/>
      <c r="P1" s="105"/>
    </row>
    <row r="2" spans="1:16" ht="19" thickTop="1" x14ac:dyDescent="0.45">
      <c r="A2" s="2" t="s">
        <v>4</v>
      </c>
      <c r="B2" s="2" t="s">
        <v>5</v>
      </c>
      <c r="C2" s="2">
        <v>15</v>
      </c>
      <c r="D2" s="3">
        <v>43662</v>
      </c>
      <c r="E2" s="22">
        <v>-13.881771885040001</v>
      </c>
      <c r="F2" s="22">
        <v>2.8714239175440821</v>
      </c>
      <c r="G2" s="22">
        <v>10</v>
      </c>
      <c r="H2" s="22">
        <v>-139.27779164122001</v>
      </c>
      <c r="I2" s="22">
        <v>10.966285723026186</v>
      </c>
      <c r="J2" s="22">
        <v>10</v>
      </c>
      <c r="K2" s="102">
        <v>-8.2684463829000006</v>
      </c>
      <c r="L2" s="22">
        <v>0.10201840370116778</v>
      </c>
      <c r="M2" s="102">
        <v>9</v>
      </c>
      <c r="N2" s="102">
        <v>-115.76576153971112</v>
      </c>
      <c r="O2" s="22">
        <v>0.4272675172596741</v>
      </c>
      <c r="P2" s="102">
        <v>9</v>
      </c>
    </row>
    <row r="3" spans="1:16" x14ac:dyDescent="0.45">
      <c r="A3" s="4" t="s">
        <v>6</v>
      </c>
      <c r="B3" s="4" t="s">
        <v>5</v>
      </c>
      <c r="C3" s="4">
        <v>15</v>
      </c>
      <c r="D3" s="5">
        <v>43678</v>
      </c>
      <c r="E3" s="22">
        <v>-16.074999999999999</v>
      </c>
      <c r="F3" s="22">
        <v>1.4642261892663069</v>
      </c>
      <c r="G3" s="22">
        <v>12</v>
      </c>
      <c r="H3" s="22">
        <v>-148.75782470190322</v>
      </c>
      <c r="I3" s="22">
        <v>6.7830391343886118</v>
      </c>
      <c r="J3" s="22">
        <v>12</v>
      </c>
      <c r="K3" s="102">
        <v>-5.0236619899999999</v>
      </c>
      <c r="L3" s="22">
        <v>0.75819913956803831</v>
      </c>
      <c r="M3" s="102">
        <v>5</v>
      </c>
      <c r="N3" s="102">
        <v>-88.963007511216645</v>
      </c>
      <c r="O3" s="22">
        <v>3.5875123627593499</v>
      </c>
      <c r="P3" s="102">
        <v>6</v>
      </c>
    </row>
    <row r="4" spans="1:16" x14ac:dyDescent="0.45">
      <c r="A4" s="4" t="s">
        <v>7</v>
      </c>
      <c r="B4" s="4" t="s">
        <v>5</v>
      </c>
      <c r="C4" s="4">
        <v>15</v>
      </c>
      <c r="D4" s="5">
        <v>43691</v>
      </c>
      <c r="E4" s="22">
        <v>-13.041666666666666</v>
      </c>
      <c r="F4" s="22">
        <v>1.7801710138028424</v>
      </c>
      <c r="G4" s="22">
        <v>12</v>
      </c>
      <c r="H4" s="22">
        <v>-122</v>
      </c>
      <c r="I4" s="22">
        <v>10.48230832778677</v>
      </c>
      <c r="J4" s="22">
        <v>12</v>
      </c>
      <c r="K4" s="102">
        <v>-3.0016650598833334</v>
      </c>
      <c r="L4" s="22">
        <v>0.19572820577988548</v>
      </c>
      <c r="M4" s="102">
        <v>6</v>
      </c>
      <c r="N4" s="102">
        <v>-67.483756478616669</v>
      </c>
      <c r="O4" s="22">
        <v>2.3060284922618024</v>
      </c>
      <c r="P4" s="102">
        <v>6</v>
      </c>
    </row>
    <row r="5" spans="1:16" x14ac:dyDescent="0.45">
      <c r="A5" s="4" t="s">
        <v>8</v>
      </c>
      <c r="B5" s="4" t="s">
        <v>5</v>
      </c>
      <c r="C5" s="4">
        <v>15</v>
      </c>
      <c r="D5" s="5">
        <v>43707</v>
      </c>
      <c r="E5" s="22">
        <v>-12.392307692307693</v>
      </c>
      <c r="F5" s="22">
        <v>2.2438937522970277</v>
      </c>
      <c r="G5" s="22">
        <v>13</v>
      </c>
      <c r="H5" s="22">
        <v>-135.38461538461539</v>
      </c>
      <c r="I5" s="22">
        <v>8.8125336599018702</v>
      </c>
      <c r="J5" s="22">
        <v>13</v>
      </c>
      <c r="K5" s="102">
        <v>-8.4573002076999995</v>
      </c>
      <c r="L5" s="22">
        <v>0.45114266408394244</v>
      </c>
      <c r="M5" s="102">
        <v>6</v>
      </c>
      <c r="N5" s="102">
        <v>-107.19568271275</v>
      </c>
      <c r="O5" s="22">
        <v>1.6712754502309086</v>
      </c>
      <c r="P5" s="102">
        <v>6</v>
      </c>
    </row>
    <row r="6" spans="1:16" x14ac:dyDescent="0.45">
      <c r="A6" s="4" t="s">
        <v>9</v>
      </c>
      <c r="B6" s="4" t="s">
        <v>5</v>
      </c>
      <c r="C6" s="4">
        <v>15</v>
      </c>
      <c r="D6" s="5">
        <v>43725</v>
      </c>
      <c r="E6" s="22">
        <v>-10.275</v>
      </c>
      <c r="F6" s="22">
        <v>2.6373518915760945</v>
      </c>
      <c r="G6" s="22">
        <v>12</v>
      </c>
      <c r="H6" s="22">
        <v>-128.61666666666667</v>
      </c>
      <c r="I6" s="22">
        <v>10.56871335689458</v>
      </c>
      <c r="J6" s="22">
        <v>12</v>
      </c>
      <c r="K6" s="102">
        <v>-8.3728732426499999</v>
      </c>
      <c r="L6" s="22">
        <v>0.45284813440341504</v>
      </c>
      <c r="M6" s="102">
        <v>8</v>
      </c>
      <c r="N6" s="102">
        <v>-107.94841210446251</v>
      </c>
      <c r="O6" s="22">
        <v>1.6090608194666658</v>
      </c>
      <c r="P6" s="102">
        <v>8</v>
      </c>
    </row>
    <row r="7" spans="1:16" x14ac:dyDescent="0.45">
      <c r="A7" s="4" t="s">
        <v>10</v>
      </c>
      <c r="B7" s="4" t="s">
        <v>5</v>
      </c>
      <c r="C7" s="4">
        <v>15</v>
      </c>
      <c r="D7" s="5">
        <v>43972</v>
      </c>
      <c r="E7" s="22">
        <v>-19.087499999999999</v>
      </c>
      <c r="F7" s="22">
        <v>2.1713588158438633</v>
      </c>
      <c r="G7" s="22">
        <v>8</v>
      </c>
      <c r="H7" s="22">
        <v>-164.75</v>
      </c>
      <c r="I7" s="22">
        <v>6.4634964001139279</v>
      </c>
      <c r="J7" s="22">
        <v>8</v>
      </c>
      <c r="K7" s="102">
        <v>-8.6640839081624996</v>
      </c>
      <c r="L7" s="22">
        <v>0.43473355833424449</v>
      </c>
      <c r="M7" s="102">
        <v>8</v>
      </c>
      <c r="N7" s="102">
        <v>-109.2014499231</v>
      </c>
      <c r="O7" s="22">
        <v>1.1697824526653857</v>
      </c>
      <c r="P7" s="102">
        <v>8</v>
      </c>
    </row>
    <row r="8" spans="1:16" x14ac:dyDescent="0.45">
      <c r="A8" s="4" t="s">
        <v>11</v>
      </c>
      <c r="B8" s="4" t="s">
        <v>5</v>
      </c>
      <c r="C8" s="4">
        <v>15</v>
      </c>
      <c r="D8" s="5">
        <v>43986</v>
      </c>
      <c r="E8" s="22">
        <v>-13.045381062422223</v>
      </c>
      <c r="F8" s="22">
        <v>2.2706468391034789</v>
      </c>
      <c r="G8" s="22">
        <v>9</v>
      </c>
      <c r="H8" s="22">
        <v>-137.05049690558889</v>
      </c>
      <c r="I8" s="22">
        <v>8.6633730583108566</v>
      </c>
      <c r="J8" s="22">
        <v>9</v>
      </c>
      <c r="K8" s="102">
        <v>-7.5870178144250007</v>
      </c>
      <c r="L8" s="22">
        <v>0.49091165345467891</v>
      </c>
      <c r="M8" s="102">
        <v>8</v>
      </c>
      <c r="N8" s="102">
        <v>-109.20773487735001</v>
      </c>
      <c r="O8" s="22">
        <v>1.4829241613173183</v>
      </c>
      <c r="P8" s="102">
        <v>8</v>
      </c>
    </row>
    <row r="9" spans="1:16" x14ac:dyDescent="0.45">
      <c r="A9" s="4" t="s">
        <v>12</v>
      </c>
      <c r="B9" s="4" t="s">
        <v>5</v>
      </c>
      <c r="C9" s="4">
        <v>15</v>
      </c>
      <c r="D9" s="5">
        <v>44000</v>
      </c>
      <c r="E9" s="22">
        <v>-12.444499417079999</v>
      </c>
      <c r="F9" s="22">
        <v>2.6649738086500561</v>
      </c>
      <c r="G9" s="22">
        <v>10</v>
      </c>
      <c r="H9" s="22">
        <v>-131.01195708775998</v>
      </c>
      <c r="I9" s="22">
        <v>11.232320005407432</v>
      </c>
      <c r="J9" s="22">
        <v>10</v>
      </c>
      <c r="K9" s="102">
        <v>-7.5010443147000005</v>
      </c>
      <c r="L9" s="22">
        <v>0.69270661502265185</v>
      </c>
      <c r="M9" s="102">
        <v>8</v>
      </c>
      <c r="N9" s="102">
        <v>-106.674038888</v>
      </c>
      <c r="O9" s="22">
        <v>2.1041714440151367</v>
      </c>
      <c r="P9" s="102">
        <v>8</v>
      </c>
    </row>
    <row r="10" spans="1:16" x14ac:dyDescent="0.45">
      <c r="A10" s="4" t="s">
        <v>13</v>
      </c>
      <c r="B10" s="4" t="s">
        <v>5</v>
      </c>
      <c r="C10" s="4">
        <v>15</v>
      </c>
      <c r="D10" s="5">
        <v>44013</v>
      </c>
      <c r="E10" s="22">
        <v>-13.73907268504</v>
      </c>
      <c r="F10" s="22">
        <v>2.1509713660210643</v>
      </c>
      <c r="G10" s="22">
        <v>10</v>
      </c>
      <c r="H10" s="22">
        <v>-134.6298369475</v>
      </c>
      <c r="I10" s="22">
        <v>11.235211553538258</v>
      </c>
      <c r="J10" s="22">
        <v>10</v>
      </c>
      <c r="K10" s="102">
        <v>-6.7224635059571431</v>
      </c>
      <c r="L10" s="22">
        <v>0.70639794875288264</v>
      </c>
      <c r="M10" s="102">
        <v>7</v>
      </c>
      <c r="N10" s="102">
        <v>-105.94316317961427</v>
      </c>
      <c r="O10" s="22">
        <v>2.8700116197544112</v>
      </c>
      <c r="P10" s="102">
        <v>7</v>
      </c>
    </row>
    <row r="11" spans="1:16" x14ac:dyDescent="0.45">
      <c r="A11" s="4" t="s">
        <v>14</v>
      </c>
      <c r="B11" s="4" t="s">
        <v>5</v>
      </c>
      <c r="C11" s="4">
        <v>15</v>
      </c>
      <c r="D11" s="5">
        <v>44028</v>
      </c>
      <c r="E11" s="22">
        <v>-9.0647103371555549</v>
      </c>
      <c r="F11" s="22">
        <v>2.6580378590230969</v>
      </c>
      <c r="G11" s="22">
        <v>9</v>
      </c>
      <c r="H11" s="22">
        <v>-123.83072652333334</v>
      </c>
      <c r="I11" s="22">
        <v>9.7591174400017398</v>
      </c>
      <c r="J11" s="22">
        <v>9</v>
      </c>
      <c r="K11" s="102">
        <v>-7.0130667583888879</v>
      </c>
      <c r="L11" s="22">
        <v>0.7702380381988041</v>
      </c>
      <c r="M11" s="102">
        <v>9</v>
      </c>
      <c r="N11" s="102">
        <v>-108.96338277086666</v>
      </c>
      <c r="O11" s="22">
        <v>2.1141833691045799</v>
      </c>
      <c r="P11" s="102">
        <v>9</v>
      </c>
    </row>
  </sheetData>
  <mergeCells count="4">
    <mergeCell ref="E1:G1"/>
    <mergeCell ref="H1:J1"/>
    <mergeCell ref="K1:M1"/>
    <mergeCell ref="N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2588-3009-4882-BE7F-9F655FF0AF08}">
  <dimension ref="A1:X56"/>
  <sheetViews>
    <sheetView workbookViewId="0">
      <selection activeCell="O27" sqref="O27"/>
    </sheetView>
  </sheetViews>
  <sheetFormatPr defaultRowHeight="18.5" x14ac:dyDescent="0.45"/>
  <cols>
    <col min="1" max="1" width="9.42578125" bestFit="1" customWidth="1"/>
    <col min="2" max="2" width="5.92578125" bestFit="1" customWidth="1"/>
    <col min="3" max="3" width="6.92578125" bestFit="1" customWidth="1"/>
    <col min="4" max="4" width="17.78515625" bestFit="1" customWidth="1"/>
    <col min="5" max="5" width="10.92578125" bestFit="1" customWidth="1"/>
    <col min="6" max="6" width="8.5" bestFit="1" customWidth="1"/>
    <col min="7" max="7" width="15.7109375" bestFit="1" customWidth="1"/>
    <col min="8" max="8" width="6.7109375" bestFit="1" customWidth="1"/>
    <col min="9" max="9" width="12.5" bestFit="1" customWidth="1"/>
    <col min="10" max="10" width="11.92578125" bestFit="1" customWidth="1"/>
    <col min="11" max="11" width="8.42578125" bestFit="1" customWidth="1"/>
    <col min="12" max="12" width="5.5" bestFit="1" customWidth="1"/>
    <col min="13" max="13" width="6.0703125" customWidth="1"/>
    <col min="15" max="15" width="9.0703125" bestFit="1" customWidth="1"/>
    <col min="16" max="16" width="12.5" bestFit="1" customWidth="1"/>
    <col min="17" max="17" width="11.92578125" bestFit="1" customWidth="1"/>
    <col min="18" max="18" width="8.92578125" bestFit="1" customWidth="1"/>
    <col min="19" max="20" width="6" bestFit="1" customWidth="1"/>
    <col min="21" max="21" width="9.0703125" bestFit="1" customWidth="1"/>
    <col min="22" max="22" width="6.5703125" bestFit="1" customWidth="1"/>
    <col min="23" max="23" width="12.5" bestFit="1" customWidth="1"/>
    <col min="24" max="24" width="11.92578125" bestFit="1" customWidth="1"/>
  </cols>
  <sheetData>
    <row r="1" spans="1:24" ht="19" thickBot="1" x14ac:dyDescent="0.5">
      <c r="A1" s="1" t="s">
        <v>0</v>
      </c>
      <c r="B1" s="1" t="s">
        <v>1</v>
      </c>
      <c r="C1" s="1" t="s">
        <v>2</v>
      </c>
      <c r="D1" s="1" t="s">
        <v>3</v>
      </c>
      <c r="F1" s="22"/>
      <c r="G1" s="101" t="s">
        <v>52</v>
      </c>
      <c r="H1" s="101" t="s">
        <v>53</v>
      </c>
      <c r="I1" s="101" t="s">
        <v>55</v>
      </c>
      <c r="J1" s="101" t="s">
        <v>54</v>
      </c>
      <c r="O1" s="22"/>
      <c r="P1" s="101" t="s">
        <v>52</v>
      </c>
      <c r="Q1" s="101" t="s">
        <v>53</v>
      </c>
      <c r="R1" s="101" t="s">
        <v>55</v>
      </c>
      <c r="S1" s="101" t="s">
        <v>54</v>
      </c>
    </row>
    <row r="2" spans="1:24" ht="19" thickTop="1" x14ac:dyDescent="0.45">
      <c r="A2" s="2" t="s">
        <v>4</v>
      </c>
      <c r="B2" s="2" t="s">
        <v>5</v>
      </c>
      <c r="C2" s="2">
        <v>15</v>
      </c>
      <c r="D2" s="3">
        <v>43662</v>
      </c>
      <c r="F2" s="101" t="s">
        <v>56</v>
      </c>
      <c r="G2" s="22">
        <v>-13.881771885040001</v>
      </c>
      <c r="H2" s="103">
        <f>_xlfn.STDEV.S($L$42:$L$47,$L$49:$L$52)</f>
        <v>9.0802397073228214</v>
      </c>
      <c r="I2" s="22">
        <v>2.8714239175440821</v>
      </c>
      <c r="J2" s="22">
        <v>10</v>
      </c>
      <c r="O2" s="101" t="s">
        <v>56</v>
      </c>
      <c r="P2" s="102">
        <f>AVERAGE(S6:S14)</f>
        <v>-8.2684463829000006</v>
      </c>
      <c r="Q2" s="102">
        <f>_xlfn.STDEV.S($S$6:S14)</f>
        <v>0.30605521110350337</v>
      </c>
      <c r="R2" s="22">
        <f>Q2/SQRT(S2)</f>
        <v>0.10201840370116778</v>
      </c>
      <c r="S2" s="102">
        <f>COUNT($S$6:S14)</f>
        <v>9</v>
      </c>
    </row>
    <row r="3" spans="1:24" x14ac:dyDescent="0.45">
      <c r="F3" s="101" t="s">
        <v>57</v>
      </c>
      <c r="G3" s="22">
        <v>-139.27779164122001</v>
      </c>
      <c r="H3" s="104">
        <f>_xlfn.STDEV.S($M$42:$M$47,$M$49:$M$52)</f>
        <v>34.678440356949153</v>
      </c>
      <c r="I3" s="22">
        <v>10.966285723026186</v>
      </c>
      <c r="J3" s="22">
        <v>10</v>
      </c>
      <c r="O3" s="101" t="s">
        <v>57</v>
      </c>
      <c r="P3" s="102">
        <f>AVERAGE(T6:T14)</f>
        <v>-115.76576153971112</v>
      </c>
      <c r="Q3" s="102">
        <f>_xlfn.STDEV.S($T$6:T14)</f>
        <v>1.2818025517790224</v>
      </c>
      <c r="R3" s="22">
        <f>Q3/SQRT(S3)</f>
        <v>0.4272675172596741</v>
      </c>
      <c r="S3" s="102">
        <f>COUNT($T$6:T14)</f>
        <v>9</v>
      </c>
    </row>
    <row r="5" spans="1:24" ht="19" thickBot="1" x14ac:dyDescent="0.5">
      <c r="A5" s="7" t="s">
        <v>15</v>
      </c>
      <c r="B5" s="8" t="s">
        <v>16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24</v>
      </c>
      <c r="K5" s="8" t="s">
        <v>25</v>
      </c>
      <c r="L5" s="8" t="s">
        <v>26</v>
      </c>
      <c r="M5" s="8" t="s">
        <v>27</v>
      </c>
      <c r="O5" t="s">
        <v>33</v>
      </c>
      <c r="P5" t="s">
        <v>34</v>
      </c>
      <c r="Q5" t="s">
        <v>35</v>
      </c>
      <c r="R5" t="s">
        <v>36</v>
      </c>
      <c r="S5" t="s">
        <v>26</v>
      </c>
      <c r="T5" t="s">
        <v>27</v>
      </c>
      <c r="U5" t="s">
        <v>37</v>
      </c>
      <c r="V5" t="s">
        <v>38</v>
      </c>
      <c r="W5" t="s">
        <v>39</v>
      </c>
      <c r="X5" t="s">
        <v>40</v>
      </c>
    </row>
    <row r="6" spans="1:24" x14ac:dyDescent="0.45">
      <c r="A6" s="13">
        <v>43662</v>
      </c>
      <c r="B6" s="14" t="s">
        <v>5</v>
      </c>
      <c r="C6" s="15">
        <v>2</v>
      </c>
      <c r="D6" s="15" t="s">
        <v>28</v>
      </c>
      <c r="E6" s="15">
        <v>5</v>
      </c>
      <c r="F6" s="16">
        <v>21.8</v>
      </c>
      <c r="G6" s="15"/>
      <c r="H6" s="17" t="s">
        <v>29</v>
      </c>
      <c r="I6" s="18">
        <f t="shared" ref="I6:I17" si="0">A6</f>
        <v>43662</v>
      </c>
      <c r="J6" s="15"/>
      <c r="K6" s="16">
        <v>21110</v>
      </c>
      <c r="L6" s="16">
        <v>-10.8</v>
      </c>
      <c r="M6" s="16">
        <v>-140</v>
      </c>
      <c r="O6" s="49">
        <v>43662</v>
      </c>
      <c r="P6">
        <v>1</v>
      </c>
      <c r="Q6" s="50" t="s">
        <v>41</v>
      </c>
      <c r="R6" s="50" t="s">
        <v>42</v>
      </c>
      <c r="S6" s="52">
        <v>-7.7742620355999996</v>
      </c>
      <c r="T6" s="51">
        <v>-115.4554908449</v>
      </c>
      <c r="U6" s="53">
        <v>43662</v>
      </c>
      <c r="V6" s="54">
        <v>1.1000000000000001</v>
      </c>
      <c r="W6">
        <v>-116.56200775000002</v>
      </c>
      <c r="X6">
        <v>9.3992522442611665E-2</v>
      </c>
    </row>
    <row r="7" spans="1:24" x14ac:dyDescent="0.45">
      <c r="A7" s="13">
        <v>43662</v>
      </c>
      <c r="B7" s="14" t="s">
        <v>5</v>
      </c>
      <c r="C7" s="15">
        <v>2</v>
      </c>
      <c r="D7" s="15" t="s">
        <v>28</v>
      </c>
      <c r="E7" s="15">
        <v>15</v>
      </c>
      <c r="F7" s="16">
        <v>22.3</v>
      </c>
      <c r="G7" s="15"/>
      <c r="H7" s="17" t="s">
        <v>29</v>
      </c>
      <c r="I7" s="18">
        <f t="shared" si="0"/>
        <v>43662</v>
      </c>
      <c r="J7" s="15"/>
      <c r="K7" s="16">
        <v>20419</v>
      </c>
      <c r="L7" s="16">
        <v>-20.9</v>
      </c>
      <c r="M7" s="16">
        <v>-166</v>
      </c>
      <c r="O7" s="49">
        <v>43662</v>
      </c>
      <c r="P7">
        <v>1</v>
      </c>
      <c r="Q7" s="50" t="s">
        <v>41</v>
      </c>
      <c r="R7" s="50" t="s">
        <v>42</v>
      </c>
      <c r="S7" s="52">
        <v>-8.1393708792999995</v>
      </c>
      <c r="T7" s="51">
        <v>-115.5108438142</v>
      </c>
      <c r="U7" s="53">
        <v>43662</v>
      </c>
      <c r="V7" s="55">
        <v>1.2</v>
      </c>
      <c r="W7">
        <v>-116.1479875</v>
      </c>
      <c r="X7">
        <v>1.0816325612519799</v>
      </c>
    </row>
    <row r="8" spans="1:24" ht="19" thickBot="1" x14ac:dyDescent="0.5">
      <c r="A8" s="13">
        <v>43662</v>
      </c>
      <c r="B8" s="14" t="s">
        <v>5</v>
      </c>
      <c r="C8" s="15">
        <v>2</v>
      </c>
      <c r="D8" s="15" t="s">
        <v>28</v>
      </c>
      <c r="E8" s="15">
        <v>25</v>
      </c>
      <c r="F8" s="16">
        <v>22.3</v>
      </c>
      <c r="G8" s="15"/>
      <c r="H8" s="17" t="s">
        <v>29</v>
      </c>
      <c r="I8" s="18">
        <f t="shared" si="0"/>
        <v>43662</v>
      </c>
      <c r="J8" s="15"/>
      <c r="K8" s="16">
        <v>20805</v>
      </c>
      <c r="L8" s="16">
        <v>-24.5</v>
      </c>
      <c r="M8" s="16">
        <v>-180</v>
      </c>
      <c r="O8" s="49">
        <v>43662</v>
      </c>
      <c r="P8">
        <v>1</v>
      </c>
      <c r="Q8" s="50" t="s">
        <v>41</v>
      </c>
      <c r="R8" s="50" t="s">
        <v>42</v>
      </c>
      <c r="S8" s="52">
        <v>-7.9634563102999998</v>
      </c>
      <c r="T8" s="51">
        <v>-116.9685904996</v>
      </c>
      <c r="U8" s="53">
        <v>43662</v>
      </c>
      <c r="V8" s="56">
        <v>1.3</v>
      </c>
      <c r="W8">
        <v>-115.49494524999997</v>
      </c>
      <c r="X8">
        <v>1.0893934117289199</v>
      </c>
    </row>
    <row r="9" spans="1:24" x14ac:dyDescent="0.45">
      <c r="A9" s="7">
        <v>43662</v>
      </c>
      <c r="B9" s="9" t="s">
        <v>5</v>
      </c>
      <c r="C9" s="8">
        <v>2</v>
      </c>
      <c r="D9" s="8" t="s">
        <v>28</v>
      </c>
      <c r="E9" s="8">
        <v>40</v>
      </c>
      <c r="F9" s="10">
        <v>22.9</v>
      </c>
      <c r="G9" s="8"/>
      <c r="H9" s="11" t="s">
        <v>29</v>
      </c>
      <c r="I9" s="12">
        <f t="shared" si="0"/>
        <v>43662</v>
      </c>
      <c r="J9" s="8"/>
      <c r="K9" s="10">
        <v>20980</v>
      </c>
      <c r="L9" s="10">
        <v>-24.9</v>
      </c>
      <c r="M9" s="10">
        <v>-178</v>
      </c>
      <c r="O9" s="49">
        <v>43662</v>
      </c>
      <c r="P9">
        <v>2</v>
      </c>
      <c r="Q9" s="50" t="s">
        <v>41</v>
      </c>
      <c r="R9" s="50" t="s">
        <v>42</v>
      </c>
      <c r="S9" s="52">
        <v>-8.2014944093000004</v>
      </c>
      <c r="T9" s="51">
        <v>-114.94691779439999</v>
      </c>
      <c r="U9" s="53">
        <v>43662</v>
      </c>
      <c r="V9">
        <v>2</v>
      </c>
      <c r="W9">
        <v>-113.08887174999998</v>
      </c>
      <c r="X9">
        <v>0.50445528099935366</v>
      </c>
    </row>
    <row r="10" spans="1:24" x14ac:dyDescent="0.45">
      <c r="A10" s="7">
        <v>43662</v>
      </c>
      <c r="B10" s="9" t="s">
        <v>5</v>
      </c>
      <c r="C10" s="8">
        <v>2</v>
      </c>
      <c r="D10" s="8" t="s">
        <v>28</v>
      </c>
      <c r="E10" s="8">
        <v>60</v>
      </c>
      <c r="F10" s="10">
        <v>23</v>
      </c>
      <c r="G10" s="8"/>
      <c r="H10" s="11" t="s">
        <v>29</v>
      </c>
      <c r="I10" s="12">
        <f t="shared" si="0"/>
        <v>43662</v>
      </c>
      <c r="J10" s="8"/>
      <c r="K10" s="10">
        <v>21190</v>
      </c>
      <c r="L10" s="10">
        <v>-21.1</v>
      </c>
      <c r="M10" s="10">
        <v>-165</v>
      </c>
      <c r="O10" s="49">
        <v>43662</v>
      </c>
      <c r="P10">
        <v>3</v>
      </c>
      <c r="Q10" s="50" t="s">
        <v>41</v>
      </c>
      <c r="R10" s="50" t="s">
        <v>42</v>
      </c>
      <c r="S10" s="52">
        <v>-8.5249193590000001</v>
      </c>
      <c r="T10" s="51">
        <v>-118.28432141819999</v>
      </c>
      <c r="U10" s="53">
        <v>43662</v>
      </c>
      <c r="V10">
        <v>3.1</v>
      </c>
      <c r="W10">
        <v>-117.05712474999999</v>
      </c>
      <c r="X10">
        <v>0.61655645455470309</v>
      </c>
    </row>
    <row r="11" spans="1:24" x14ac:dyDescent="0.45">
      <c r="A11" s="7">
        <v>43662</v>
      </c>
      <c r="B11" s="9" t="s">
        <v>5</v>
      </c>
      <c r="C11" s="8">
        <v>2</v>
      </c>
      <c r="D11" s="8" t="s">
        <v>28</v>
      </c>
      <c r="E11" s="8">
        <v>100</v>
      </c>
      <c r="F11" s="10">
        <v>22.4</v>
      </c>
      <c r="G11" s="8"/>
      <c r="H11" s="11" t="s">
        <v>29</v>
      </c>
      <c r="I11" s="12">
        <f t="shared" si="0"/>
        <v>43662</v>
      </c>
      <c r="J11" s="8"/>
      <c r="K11" s="10">
        <v>20323</v>
      </c>
      <c r="L11" s="10">
        <v>-21.1</v>
      </c>
      <c r="M11" s="10">
        <v>-162</v>
      </c>
      <c r="O11" s="49">
        <v>43662</v>
      </c>
      <c r="P11">
        <v>3</v>
      </c>
      <c r="Q11" s="50" t="s">
        <v>41</v>
      </c>
      <c r="R11" s="50" t="s">
        <v>42</v>
      </c>
      <c r="S11" s="52">
        <v>-8.3877491860000006</v>
      </c>
      <c r="T11" s="51">
        <v>-116.18537286909999</v>
      </c>
      <c r="U11" s="53">
        <v>43662</v>
      </c>
      <c r="V11">
        <v>3.2</v>
      </c>
      <c r="W11">
        <v>-113.941912</v>
      </c>
      <c r="X11">
        <v>1.0505891593443299</v>
      </c>
    </row>
    <row r="12" spans="1:24" x14ac:dyDescent="0.45">
      <c r="A12" s="13">
        <v>43662</v>
      </c>
      <c r="B12" s="14" t="s">
        <v>5</v>
      </c>
      <c r="C12" s="15">
        <v>3</v>
      </c>
      <c r="D12" s="15" t="s">
        <v>30</v>
      </c>
      <c r="E12" s="15">
        <v>5</v>
      </c>
      <c r="F12" s="16">
        <v>22.3</v>
      </c>
      <c r="G12" s="15"/>
      <c r="H12" s="17" t="s">
        <v>29</v>
      </c>
      <c r="I12" s="18">
        <f t="shared" si="0"/>
        <v>43662</v>
      </c>
      <c r="J12" s="15"/>
      <c r="K12" s="16">
        <v>14600</v>
      </c>
      <c r="L12" s="16">
        <v>-10</v>
      </c>
      <c r="M12" s="16">
        <v>-140</v>
      </c>
      <c r="O12" s="49">
        <v>43662</v>
      </c>
      <c r="P12">
        <v>4</v>
      </c>
      <c r="Q12" s="50" t="s">
        <v>41</v>
      </c>
      <c r="R12" s="50" t="s">
        <v>42</v>
      </c>
      <c r="S12" s="52">
        <v>-8.2926908069999996</v>
      </c>
      <c r="T12" s="51">
        <v>-114.8269849193</v>
      </c>
      <c r="U12" s="53">
        <v>43662</v>
      </c>
      <c r="V12">
        <v>4</v>
      </c>
      <c r="W12">
        <v>-114.646783</v>
      </c>
      <c r="X12">
        <v>0.498419063961761</v>
      </c>
    </row>
    <row r="13" spans="1:24" x14ac:dyDescent="0.45">
      <c r="A13" s="13">
        <v>43662</v>
      </c>
      <c r="B13" s="14" t="s">
        <v>5</v>
      </c>
      <c r="C13" s="15">
        <v>3</v>
      </c>
      <c r="D13" s="15" t="s">
        <v>30</v>
      </c>
      <c r="E13" s="15">
        <v>15</v>
      </c>
      <c r="F13" s="16">
        <v>22.5</v>
      </c>
      <c r="G13" s="15"/>
      <c r="H13" s="17" t="s">
        <v>29</v>
      </c>
      <c r="I13" s="18">
        <f t="shared" si="0"/>
        <v>43662</v>
      </c>
      <c r="J13" s="15"/>
      <c r="K13" s="16">
        <v>20600</v>
      </c>
      <c r="L13" s="16">
        <v>-19.600000000000001</v>
      </c>
      <c r="M13" s="16">
        <v>-164</v>
      </c>
      <c r="O13" s="49">
        <v>43662</v>
      </c>
      <c r="P13">
        <v>5</v>
      </c>
      <c r="Q13" s="50" t="s">
        <v>41</v>
      </c>
      <c r="R13" s="50" t="s">
        <v>42</v>
      </c>
      <c r="S13" s="52">
        <v>-8.8241633707999991</v>
      </c>
      <c r="T13" s="51">
        <v>-115.8085481143</v>
      </c>
      <c r="U13" s="53">
        <v>43662</v>
      </c>
      <c r="V13">
        <v>5</v>
      </c>
      <c r="W13">
        <v>-113.70715824999999</v>
      </c>
      <c r="X13">
        <v>0.28715146764577726</v>
      </c>
    </row>
    <row r="14" spans="1:24" x14ac:dyDescent="0.45">
      <c r="A14" s="13">
        <v>43662</v>
      </c>
      <c r="B14" s="14" t="s">
        <v>5</v>
      </c>
      <c r="C14" s="15">
        <v>3</v>
      </c>
      <c r="D14" s="15" t="s">
        <v>30</v>
      </c>
      <c r="E14" s="15">
        <v>25</v>
      </c>
      <c r="F14" s="16">
        <v>22.9</v>
      </c>
      <c r="G14" s="15"/>
      <c r="H14" s="17" t="s">
        <v>29</v>
      </c>
      <c r="I14" s="18">
        <f t="shared" si="0"/>
        <v>43662</v>
      </c>
      <c r="J14" s="15"/>
      <c r="K14" s="16">
        <v>21200</v>
      </c>
      <c r="L14" s="16">
        <v>-25.6</v>
      </c>
      <c r="M14" s="16">
        <v>-184</v>
      </c>
      <c r="O14" s="49">
        <v>43662</v>
      </c>
      <c r="P14">
        <v>6</v>
      </c>
      <c r="Q14" s="50" t="s">
        <v>41</v>
      </c>
      <c r="R14" s="50" t="s">
        <v>42</v>
      </c>
      <c r="S14" s="52">
        <v>-8.3079110887999992</v>
      </c>
      <c r="T14" s="51">
        <v>-113.9047835834</v>
      </c>
      <c r="U14" s="53">
        <v>43662</v>
      </c>
      <c r="V14">
        <v>6</v>
      </c>
      <c r="W14">
        <v>-114.24251874999999</v>
      </c>
      <c r="X14">
        <v>0.21989076351252743</v>
      </c>
    </row>
    <row r="15" spans="1:24" x14ac:dyDescent="0.45">
      <c r="A15" s="7">
        <v>43662</v>
      </c>
      <c r="B15" s="9" t="s">
        <v>5</v>
      </c>
      <c r="C15" s="8">
        <v>3</v>
      </c>
      <c r="D15" s="8" t="s">
        <v>30</v>
      </c>
      <c r="E15" s="8">
        <v>40</v>
      </c>
      <c r="F15" s="10">
        <v>23.1</v>
      </c>
      <c r="G15" s="8"/>
      <c r="H15" s="11" t="s">
        <v>29</v>
      </c>
      <c r="I15" s="12">
        <f t="shared" si="0"/>
        <v>43662</v>
      </c>
      <c r="J15" s="8"/>
      <c r="K15" s="10">
        <v>21600</v>
      </c>
      <c r="L15" s="10">
        <v>-27.5</v>
      </c>
      <c r="M15" s="10">
        <v>-192</v>
      </c>
    </row>
    <row r="16" spans="1:24" x14ac:dyDescent="0.45">
      <c r="A16" s="7">
        <v>43662</v>
      </c>
      <c r="B16" s="9" t="s">
        <v>5</v>
      </c>
      <c r="C16" s="8">
        <v>3</v>
      </c>
      <c r="D16" s="8" t="s">
        <v>30</v>
      </c>
      <c r="E16" s="8">
        <v>60</v>
      </c>
      <c r="F16" s="10">
        <v>22.8</v>
      </c>
      <c r="G16" s="8"/>
      <c r="H16" s="11" t="s">
        <v>29</v>
      </c>
      <c r="I16" s="12">
        <f t="shared" si="0"/>
        <v>43662</v>
      </c>
      <c r="J16" s="8"/>
      <c r="K16" s="10">
        <v>21600</v>
      </c>
      <c r="L16" s="10">
        <v>-26.5</v>
      </c>
      <c r="M16" s="10">
        <v>-188</v>
      </c>
    </row>
    <row r="17" spans="1:13" x14ac:dyDescent="0.45">
      <c r="A17" s="7">
        <v>43662</v>
      </c>
      <c r="B17" s="9" t="s">
        <v>5</v>
      </c>
      <c r="C17" s="8">
        <v>3</v>
      </c>
      <c r="D17" s="8" t="s">
        <v>30</v>
      </c>
      <c r="E17" s="8">
        <v>100</v>
      </c>
      <c r="F17" s="10">
        <v>22.7</v>
      </c>
      <c r="G17" s="8"/>
      <c r="H17" s="11" t="s">
        <v>29</v>
      </c>
      <c r="I17" s="12">
        <f t="shared" si="0"/>
        <v>43662</v>
      </c>
      <c r="J17" s="8"/>
      <c r="K17" s="10">
        <v>20449</v>
      </c>
      <c r="L17" s="10">
        <v>-22.7</v>
      </c>
      <c r="M17" s="10">
        <v>-173</v>
      </c>
    </row>
    <row r="18" spans="1:13" ht="19" thickBot="1" x14ac:dyDescent="0.5"/>
    <row r="19" spans="1:13" x14ac:dyDescent="0.45">
      <c r="A19" s="61" t="s">
        <v>15</v>
      </c>
      <c r="B19" s="62" t="s">
        <v>16</v>
      </c>
      <c r="C19" s="62" t="s">
        <v>17</v>
      </c>
      <c r="D19" s="62" t="s">
        <v>18</v>
      </c>
      <c r="E19" s="62" t="s">
        <v>19</v>
      </c>
      <c r="F19" s="62" t="s">
        <v>20</v>
      </c>
      <c r="G19" s="62" t="s">
        <v>21</v>
      </c>
      <c r="H19" s="62" t="s">
        <v>22</v>
      </c>
      <c r="I19" s="62" t="s">
        <v>23</v>
      </c>
      <c r="J19" s="62" t="s">
        <v>24</v>
      </c>
      <c r="K19" s="62" t="s">
        <v>25</v>
      </c>
      <c r="L19" s="62" t="s">
        <v>26</v>
      </c>
      <c r="M19" s="63" t="s">
        <v>27</v>
      </c>
    </row>
    <row r="20" spans="1:13" x14ac:dyDescent="0.45">
      <c r="A20" s="64">
        <v>43662</v>
      </c>
      <c r="B20" s="14" t="s">
        <v>5</v>
      </c>
      <c r="C20" s="15">
        <v>2</v>
      </c>
      <c r="D20" s="15" t="s">
        <v>28</v>
      </c>
      <c r="E20" s="15">
        <v>5</v>
      </c>
      <c r="F20" s="16">
        <v>21.8</v>
      </c>
      <c r="G20" s="15"/>
      <c r="H20" s="17" t="s">
        <v>29</v>
      </c>
      <c r="I20" s="18">
        <f t="shared" ref="I20:I25" si="1">A20</f>
        <v>43662</v>
      </c>
      <c r="J20" s="15"/>
      <c r="K20" s="16">
        <v>21110</v>
      </c>
      <c r="L20" s="16">
        <v>-10.8</v>
      </c>
      <c r="M20" s="65">
        <v>-140</v>
      </c>
    </row>
    <row r="21" spans="1:13" x14ac:dyDescent="0.45">
      <c r="A21" s="64">
        <v>43662</v>
      </c>
      <c r="B21" s="14" t="s">
        <v>5</v>
      </c>
      <c r="C21" s="15">
        <v>2</v>
      </c>
      <c r="D21" s="15" t="s">
        <v>28</v>
      </c>
      <c r="E21" s="15">
        <v>15</v>
      </c>
      <c r="F21" s="16">
        <v>22.3</v>
      </c>
      <c r="G21" s="15"/>
      <c r="H21" s="17" t="s">
        <v>29</v>
      </c>
      <c r="I21" s="18">
        <f t="shared" si="1"/>
        <v>43662</v>
      </c>
      <c r="J21" s="15"/>
      <c r="K21" s="16">
        <v>20419</v>
      </c>
      <c r="L21" s="16">
        <v>-20.9</v>
      </c>
      <c r="M21" s="65">
        <v>-166</v>
      </c>
    </row>
    <row r="22" spans="1:13" x14ac:dyDescent="0.45">
      <c r="A22" s="64">
        <v>43662</v>
      </c>
      <c r="B22" s="14" t="s">
        <v>5</v>
      </c>
      <c r="C22" s="15">
        <v>2</v>
      </c>
      <c r="D22" s="15" t="s">
        <v>28</v>
      </c>
      <c r="E22" s="15">
        <v>25</v>
      </c>
      <c r="F22" s="16">
        <v>22.3</v>
      </c>
      <c r="G22" s="15"/>
      <c r="H22" s="17" t="s">
        <v>29</v>
      </c>
      <c r="I22" s="18">
        <f t="shared" si="1"/>
        <v>43662</v>
      </c>
      <c r="J22" s="15"/>
      <c r="K22" s="16">
        <v>20805</v>
      </c>
      <c r="L22" s="16">
        <v>-24.5</v>
      </c>
      <c r="M22" s="65">
        <v>-180</v>
      </c>
    </row>
    <row r="23" spans="1:13" x14ac:dyDescent="0.45">
      <c r="A23" s="64">
        <v>43662</v>
      </c>
      <c r="B23" s="14" t="s">
        <v>5</v>
      </c>
      <c r="C23" s="15">
        <v>3</v>
      </c>
      <c r="D23" s="15" t="s">
        <v>30</v>
      </c>
      <c r="E23" s="15">
        <v>5</v>
      </c>
      <c r="F23" s="16">
        <v>22.3</v>
      </c>
      <c r="G23" s="15"/>
      <c r="H23" s="17" t="s">
        <v>29</v>
      </c>
      <c r="I23" s="18">
        <f t="shared" si="1"/>
        <v>43662</v>
      </c>
      <c r="J23" s="15"/>
      <c r="K23" s="16">
        <v>14600</v>
      </c>
      <c r="L23" s="16">
        <v>-10</v>
      </c>
      <c r="M23" s="65">
        <v>-140</v>
      </c>
    </row>
    <row r="24" spans="1:13" x14ac:dyDescent="0.45">
      <c r="A24" s="64">
        <v>43662</v>
      </c>
      <c r="B24" s="14" t="s">
        <v>5</v>
      </c>
      <c r="C24" s="15">
        <v>3</v>
      </c>
      <c r="D24" s="15" t="s">
        <v>30</v>
      </c>
      <c r="E24" s="15">
        <v>15</v>
      </c>
      <c r="F24" s="16">
        <v>22.5</v>
      </c>
      <c r="G24" s="15"/>
      <c r="H24" s="17" t="s">
        <v>29</v>
      </c>
      <c r="I24" s="18">
        <f t="shared" si="1"/>
        <v>43662</v>
      </c>
      <c r="J24" s="15"/>
      <c r="K24" s="16">
        <v>20600</v>
      </c>
      <c r="L24" s="16">
        <v>-19.600000000000001</v>
      </c>
      <c r="M24" s="65">
        <v>-164</v>
      </c>
    </row>
    <row r="25" spans="1:13" ht="19" thickBot="1" x14ac:dyDescent="0.5">
      <c r="A25" s="66">
        <v>43662</v>
      </c>
      <c r="B25" s="67" t="s">
        <v>5</v>
      </c>
      <c r="C25" s="68">
        <v>3</v>
      </c>
      <c r="D25" s="68" t="s">
        <v>30</v>
      </c>
      <c r="E25" s="68">
        <v>25</v>
      </c>
      <c r="F25" s="69">
        <v>22.9</v>
      </c>
      <c r="G25" s="68"/>
      <c r="H25" s="70" t="s">
        <v>29</v>
      </c>
      <c r="I25" s="71">
        <f t="shared" si="1"/>
        <v>43662</v>
      </c>
      <c r="J25" s="68"/>
      <c r="K25" s="69">
        <v>21200</v>
      </c>
      <c r="L25" s="69">
        <v>-25.6</v>
      </c>
      <c r="M25" s="72">
        <v>-184</v>
      </c>
    </row>
    <row r="26" spans="1:13" x14ac:dyDescent="0.45">
      <c r="K26" t="s">
        <v>52</v>
      </c>
      <c r="L26">
        <f>AVERAGE(L20:L25)</f>
        <v>-18.566666666666666</v>
      </c>
      <c r="M26" s="73">
        <f>AVERAGE(M20:M25)</f>
        <v>-162.33333333333334</v>
      </c>
    </row>
    <row r="27" spans="1:13" x14ac:dyDescent="0.45">
      <c r="K27" t="s">
        <v>53</v>
      </c>
      <c r="L27">
        <f>_xlfn.STDEV.S(L20:L25)</f>
        <v>6.7066136512152452</v>
      </c>
      <c r="M27">
        <f>_xlfn.STDEV.S(M20:M25)</f>
        <v>18.949054505876241</v>
      </c>
    </row>
    <row r="28" spans="1:13" x14ac:dyDescent="0.45">
      <c r="K28" t="s">
        <v>54</v>
      </c>
      <c r="L28">
        <f>COUNT(L20:L25)</f>
        <v>6</v>
      </c>
      <c r="M28">
        <f>COUNT(M20:M25)</f>
        <v>6</v>
      </c>
    </row>
    <row r="29" spans="1:13" x14ac:dyDescent="0.45">
      <c r="K29" t="s">
        <v>55</v>
      </c>
      <c r="L29">
        <f>L27/SQRT(L28)</f>
        <v>2.7379635579102306</v>
      </c>
      <c r="M29">
        <f>M27/SQRT(M28)</f>
        <v>7.7359191079305365</v>
      </c>
    </row>
    <row r="31" spans="1:13" ht="19" thickBot="1" x14ac:dyDescent="0.5">
      <c r="A31" t="s">
        <v>33</v>
      </c>
      <c r="B31" t="s">
        <v>34</v>
      </c>
      <c r="C31" t="s">
        <v>35</v>
      </c>
      <c r="D31" t="s">
        <v>36</v>
      </c>
      <c r="E31" t="s">
        <v>26</v>
      </c>
      <c r="F31" t="s">
        <v>27</v>
      </c>
      <c r="G31" t="s">
        <v>37</v>
      </c>
      <c r="H31" t="s">
        <v>38</v>
      </c>
      <c r="I31" t="s">
        <v>39</v>
      </c>
      <c r="J31" t="s">
        <v>40</v>
      </c>
    </row>
    <row r="32" spans="1:13" x14ac:dyDescent="0.45">
      <c r="A32" s="74">
        <v>43662</v>
      </c>
      <c r="B32" s="75">
        <v>5</v>
      </c>
      <c r="C32" s="76" t="s">
        <v>43</v>
      </c>
      <c r="D32" s="76" t="s">
        <v>42</v>
      </c>
      <c r="E32" s="77">
        <v>2.5995912909999999</v>
      </c>
      <c r="F32" s="78">
        <v>-84.7979903648</v>
      </c>
      <c r="G32" s="79">
        <v>43662</v>
      </c>
      <c r="H32" s="54" t="s">
        <v>44</v>
      </c>
      <c r="I32" s="75">
        <v>-84.285501249999982</v>
      </c>
      <c r="J32" s="80">
        <v>8.6231671965035007E-4</v>
      </c>
    </row>
    <row r="33" spans="1:13" x14ac:dyDescent="0.45">
      <c r="A33" s="81">
        <v>43662</v>
      </c>
      <c r="B33">
        <v>10</v>
      </c>
      <c r="C33" s="50" t="s">
        <v>43</v>
      </c>
      <c r="D33" s="50" t="s">
        <v>42</v>
      </c>
      <c r="E33" s="52">
        <v>-3.5027129394999998</v>
      </c>
      <c r="F33" s="51">
        <v>-93.967650277000004</v>
      </c>
      <c r="G33" s="53">
        <v>43662</v>
      </c>
      <c r="H33" s="55" t="s">
        <v>45</v>
      </c>
      <c r="I33">
        <v>-94.889053749999988</v>
      </c>
      <c r="J33" s="82">
        <v>0.37510777305079629</v>
      </c>
    </row>
    <row r="34" spans="1:13" x14ac:dyDescent="0.45">
      <c r="A34" s="81">
        <v>43662</v>
      </c>
      <c r="B34">
        <v>15</v>
      </c>
      <c r="C34" s="50" t="s">
        <v>43</v>
      </c>
      <c r="D34" s="50" t="s">
        <v>42</v>
      </c>
      <c r="E34" s="52">
        <v>-11.6242217873</v>
      </c>
      <c r="F34" s="51">
        <v>-113.88994028650001</v>
      </c>
      <c r="G34" s="53">
        <v>43662</v>
      </c>
      <c r="H34" s="55" t="s">
        <v>46</v>
      </c>
      <c r="J34" s="82">
        <v>0.16192745289170876</v>
      </c>
    </row>
    <row r="35" spans="1:13" ht="19" thickBot="1" x14ac:dyDescent="0.5">
      <c r="A35" s="83">
        <v>43662</v>
      </c>
      <c r="B35" s="84">
        <v>25</v>
      </c>
      <c r="C35" s="85" t="s">
        <v>43</v>
      </c>
      <c r="D35" s="85" t="s">
        <v>42</v>
      </c>
      <c r="E35" s="86">
        <v>-14.890375414599999</v>
      </c>
      <c r="F35" s="87">
        <v>-126.1223354839</v>
      </c>
      <c r="G35" s="88">
        <v>43662</v>
      </c>
      <c r="H35" s="56" t="s">
        <v>47</v>
      </c>
      <c r="I35" s="84">
        <v>-126.3283735</v>
      </c>
      <c r="J35" s="89">
        <v>0.98304106040899586</v>
      </c>
    </row>
    <row r="36" spans="1:13" x14ac:dyDescent="0.45">
      <c r="A36" s="49">
        <v>43662</v>
      </c>
      <c r="B36">
        <v>40</v>
      </c>
      <c r="C36" s="50" t="s">
        <v>43</v>
      </c>
      <c r="D36" s="50" t="s">
        <v>42</v>
      </c>
      <c r="E36" s="52">
        <v>-15.210986331399999</v>
      </c>
      <c r="F36" s="51">
        <v>-130.41102586580001</v>
      </c>
      <c r="G36" s="53">
        <v>43662</v>
      </c>
      <c r="H36" s="55" t="s">
        <v>48</v>
      </c>
      <c r="I36">
        <v>-131.11795975000001</v>
      </c>
      <c r="J36">
        <v>0.88732390452704324</v>
      </c>
    </row>
    <row r="37" spans="1:13" x14ac:dyDescent="0.45">
      <c r="A37" s="49">
        <v>43662</v>
      </c>
      <c r="B37">
        <v>60</v>
      </c>
      <c r="C37" s="50" t="s">
        <v>43</v>
      </c>
      <c r="D37" s="50" t="s">
        <v>42</v>
      </c>
      <c r="E37" s="52">
        <v>-14.200768330200001</v>
      </c>
      <c r="F37" s="51">
        <v>-126.2940567019</v>
      </c>
      <c r="G37" s="53">
        <v>43662</v>
      </c>
      <c r="H37" s="55" t="s">
        <v>49</v>
      </c>
      <c r="I37">
        <v>-125.05460575000001</v>
      </c>
      <c r="J37">
        <v>0.76142566345712748</v>
      </c>
    </row>
    <row r="38" spans="1:13" ht="19" thickBot="1" x14ac:dyDescent="0.5">
      <c r="A38" s="49">
        <v>43662</v>
      </c>
      <c r="B38">
        <v>100</v>
      </c>
      <c r="C38" s="50" t="s">
        <v>43</v>
      </c>
      <c r="D38" s="50" t="s">
        <v>42</v>
      </c>
      <c r="E38" s="52">
        <v>-10.1892985669</v>
      </c>
      <c r="F38" s="51">
        <v>-104.8257885611</v>
      </c>
      <c r="G38" s="53">
        <v>43662</v>
      </c>
      <c r="H38" s="56" t="s">
        <v>50</v>
      </c>
      <c r="I38">
        <v>-104.67005349999999</v>
      </c>
      <c r="J38">
        <v>1.7608507415395604</v>
      </c>
    </row>
    <row r="40" spans="1:13" ht="19" thickBot="1" x14ac:dyDescent="0.5"/>
    <row r="41" spans="1:13" x14ac:dyDescent="0.45">
      <c r="A41" s="61" t="s">
        <v>15</v>
      </c>
      <c r="B41" s="62" t="s">
        <v>16</v>
      </c>
      <c r="C41" s="62" t="s">
        <v>17</v>
      </c>
      <c r="D41" s="62" t="s">
        <v>18</v>
      </c>
      <c r="E41" s="62" t="s">
        <v>19</v>
      </c>
      <c r="F41" s="62" t="s">
        <v>20</v>
      </c>
      <c r="G41" s="62" t="s">
        <v>21</v>
      </c>
      <c r="H41" s="62" t="s">
        <v>22</v>
      </c>
      <c r="I41" s="62" t="s">
        <v>23</v>
      </c>
      <c r="J41" s="62" t="s">
        <v>24</v>
      </c>
      <c r="K41" s="62" t="s">
        <v>25</v>
      </c>
      <c r="L41" s="62" t="s">
        <v>26</v>
      </c>
      <c r="M41" s="63" t="s">
        <v>27</v>
      </c>
    </row>
    <row r="42" spans="1:13" x14ac:dyDescent="0.45">
      <c r="A42" s="64">
        <v>43662</v>
      </c>
      <c r="B42" s="14" t="s">
        <v>5</v>
      </c>
      <c r="C42" s="15">
        <v>2</v>
      </c>
      <c r="D42" s="15" t="s">
        <v>28</v>
      </c>
      <c r="E42" s="15">
        <v>5</v>
      </c>
      <c r="F42" s="16">
        <v>21.8</v>
      </c>
      <c r="G42" s="15"/>
      <c r="H42" s="17" t="s">
        <v>29</v>
      </c>
      <c r="I42" s="18">
        <f t="shared" ref="I42:I47" si="2">A42</f>
        <v>43662</v>
      </c>
      <c r="J42" s="15"/>
      <c r="K42" s="16">
        <v>21110</v>
      </c>
      <c r="L42" s="16">
        <v>-10.8</v>
      </c>
      <c r="M42" s="65">
        <v>-140</v>
      </c>
    </row>
    <row r="43" spans="1:13" x14ac:dyDescent="0.45">
      <c r="A43" s="64">
        <v>43662</v>
      </c>
      <c r="B43" s="14" t="s">
        <v>5</v>
      </c>
      <c r="C43" s="15">
        <v>2</v>
      </c>
      <c r="D43" s="15" t="s">
        <v>28</v>
      </c>
      <c r="E43" s="15">
        <v>15</v>
      </c>
      <c r="F43" s="16">
        <v>22.3</v>
      </c>
      <c r="G43" s="15"/>
      <c r="H43" s="17" t="s">
        <v>29</v>
      </c>
      <c r="I43" s="18">
        <f t="shared" si="2"/>
        <v>43662</v>
      </c>
      <c r="J43" s="15"/>
      <c r="K43" s="16">
        <v>20419</v>
      </c>
      <c r="L43" s="16">
        <v>-20.9</v>
      </c>
      <c r="M43" s="65">
        <v>-166</v>
      </c>
    </row>
    <row r="44" spans="1:13" x14ac:dyDescent="0.45">
      <c r="A44" s="64">
        <v>43662</v>
      </c>
      <c r="B44" s="14" t="s">
        <v>5</v>
      </c>
      <c r="C44" s="15">
        <v>2</v>
      </c>
      <c r="D44" s="15" t="s">
        <v>28</v>
      </c>
      <c r="E44" s="15">
        <v>25</v>
      </c>
      <c r="F44" s="16">
        <v>22.3</v>
      </c>
      <c r="G44" s="15"/>
      <c r="H44" s="17" t="s">
        <v>29</v>
      </c>
      <c r="I44" s="18">
        <f t="shared" si="2"/>
        <v>43662</v>
      </c>
      <c r="J44" s="15"/>
      <c r="K44" s="16">
        <v>20805</v>
      </c>
      <c r="L44" s="16">
        <v>-24.5</v>
      </c>
      <c r="M44" s="65">
        <v>-180</v>
      </c>
    </row>
    <row r="45" spans="1:13" x14ac:dyDescent="0.45">
      <c r="A45" s="64">
        <v>43662</v>
      </c>
      <c r="B45" s="14" t="s">
        <v>5</v>
      </c>
      <c r="C45" s="15">
        <v>3</v>
      </c>
      <c r="D45" s="15" t="s">
        <v>30</v>
      </c>
      <c r="E45" s="15">
        <v>5</v>
      </c>
      <c r="F45" s="16">
        <v>22.3</v>
      </c>
      <c r="G45" s="15"/>
      <c r="H45" s="17" t="s">
        <v>29</v>
      </c>
      <c r="I45" s="18">
        <f t="shared" si="2"/>
        <v>43662</v>
      </c>
      <c r="J45" s="15"/>
      <c r="K45" s="16">
        <v>14600</v>
      </c>
      <c r="L45" s="16">
        <v>-10</v>
      </c>
      <c r="M45" s="65">
        <v>-140</v>
      </c>
    </row>
    <row r="46" spans="1:13" x14ac:dyDescent="0.45">
      <c r="A46" s="64">
        <v>43662</v>
      </c>
      <c r="B46" s="14" t="s">
        <v>5</v>
      </c>
      <c r="C46" s="15">
        <v>3</v>
      </c>
      <c r="D46" s="15" t="s">
        <v>30</v>
      </c>
      <c r="E46" s="15">
        <v>15</v>
      </c>
      <c r="F46" s="16">
        <v>22.5</v>
      </c>
      <c r="G46" s="15"/>
      <c r="H46" s="17" t="s">
        <v>29</v>
      </c>
      <c r="I46" s="18">
        <f t="shared" si="2"/>
        <v>43662</v>
      </c>
      <c r="J46" s="15"/>
      <c r="K46" s="16">
        <v>20600</v>
      </c>
      <c r="L46" s="16">
        <v>-19.600000000000001</v>
      </c>
      <c r="M46" s="65">
        <v>-164</v>
      </c>
    </row>
    <row r="47" spans="1:13" ht="19" thickBot="1" x14ac:dyDescent="0.5">
      <c r="A47" s="66">
        <v>43662</v>
      </c>
      <c r="B47" s="67" t="s">
        <v>5</v>
      </c>
      <c r="C47" s="68">
        <v>3</v>
      </c>
      <c r="D47" s="68" t="s">
        <v>30</v>
      </c>
      <c r="E47" s="68">
        <v>25</v>
      </c>
      <c r="F47" s="69">
        <v>22.9</v>
      </c>
      <c r="G47" s="68"/>
      <c r="H47" s="70" t="s">
        <v>29</v>
      </c>
      <c r="I47" s="71">
        <f t="shared" si="2"/>
        <v>43662</v>
      </c>
      <c r="J47" s="68"/>
      <c r="K47" s="69">
        <v>21200</v>
      </c>
      <c r="L47" s="69">
        <v>-25.6</v>
      </c>
      <c r="M47" s="72">
        <v>-184</v>
      </c>
    </row>
    <row r="48" spans="1:13" ht="19" thickBot="1" x14ac:dyDescent="0.5">
      <c r="A48" t="s">
        <v>33</v>
      </c>
      <c r="E48" s="6" t="s">
        <v>34</v>
      </c>
      <c r="L48" t="s">
        <v>26</v>
      </c>
      <c r="M48" t="s">
        <v>27</v>
      </c>
    </row>
    <row r="49" spans="1:13" x14ac:dyDescent="0.45">
      <c r="A49" s="74">
        <v>43662</v>
      </c>
      <c r="E49" s="90">
        <v>5</v>
      </c>
      <c r="L49" s="77">
        <v>2.5995912909999999</v>
      </c>
      <c r="M49" s="78">
        <v>-84.7979903648</v>
      </c>
    </row>
    <row r="50" spans="1:13" x14ac:dyDescent="0.45">
      <c r="A50" s="81">
        <v>43662</v>
      </c>
      <c r="E50" s="6">
        <v>10</v>
      </c>
      <c r="L50" s="52">
        <v>-3.5027129394999998</v>
      </c>
      <c r="M50" s="51">
        <v>-93.967650277000004</v>
      </c>
    </row>
    <row r="51" spans="1:13" x14ac:dyDescent="0.45">
      <c r="A51" s="81">
        <v>43662</v>
      </c>
      <c r="E51" s="6">
        <v>15</v>
      </c>
      <c r="L51" s="52">
        <v>-11.6242217873</v>
      </c>
      <c r="M51" s="51">
        <v>-113.88994028650001</v>
      </c>
    </row>
    <row r="52" spans="1:13" ht="19" thickBot="1" x14ac:dyDescent="0.5">
      <c r="A52" s="83">
        <v>43662</v>
      </c>
      <c r="E52" s="91">
        <v>25</v>
      </c>
      <c r="L52" s="52">
        <v>-14.890375414599999</v>
      </c>
      <c r="M52" s="51">
        <v>-126.1223354839</v>
      </c>
    </row>
    <row r="53" spans="1:13" x14ac:dyDescent="0.45">
      <c r="K53" s="93" t="s">
        <v>52</v>
      </c>
      <c r="L53" s="94">
        <f>AVERAGE($L$42:$L$47,$L$49:$L$52)</f>
        <v>-13.881771885040001</v>
      </c>
      <c r="M53" s="95">
        <f>AVERAGE($M$42:$M$47,$M$49:$M$52)</f>
        <v>-139.27779164122001</v>
      </c>
    </row>
    <row r="54" spans="1:13" x14ac:dyDescent="0.45">
      <c r="K54" s="96" t="s">
        <v>53</v>
      </c>
      <c r="L54" s="92">
        <f>_xlfn.STDEV.S($L$42:$L$47,$L$49:$L$52)</f>
        <v>9.0802397073228214</v>
      </c>
      <c r="M54" s="97">
        <f>_xlfn.STDEV.S($M$42:$M$47,$M$49:$M$52)</f>
        <v>34.678440356949153</v>
      </c>
    </row>
    <row r="55" spans="1:13" x14ac:dyDescent="0.45">
      <c r="K55" s="96" t="s">
        <v>54</v>
      </c>
      <c r="L55" s="92">
        <f>COUNT($L$42:$L$47,$L$49:$L$52)</f>
        <v>10</v>
      </c>
      <c r="M55" s="97">
        <f>COUNT($M$42:$M$47,$M$49:$M$52)</f>
        <v>10</v>
      </c>
    </row>
    <row r="56" spans="1:13" ht="19" thickBot="1" x14ac:dyDescent="0.5">
      <c r="K56" s="98" t="s">
        <v>55</v>
      </c>
      <c r="L56" s="99">
        <f>L54/SQRT(L55)</f>
        <v>2.8714239175440821</v>
      </c>
      <c r="M56" s="100">
        <f>M54/SQRT(M55)</f>
        <v>10.966285723026186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C6F8-DF75-40D3-A671-F7DFA232146A}">
  <dimension ref="A1:X41"/>
  <sheetViews>
    <sheetView topLeftCell="F1" workbookViewId="0">
      <selection activeCell="S3" activeCellId="2" sqref="P3 R3 S3"/>
    </sheetView>
  </sheetViews>
  <sheetFormatPr defaultRowHeight="18.5" x14ac:dyDescent="0.45"/>
  <cols>
    <col min="1" max="1" width="9.42578125" bestFit="1" customWidth="1"/>
    <col min="2" max="2" width="5.92578125" bestFit="1" customWidth="1"/>
    <col min="3" max="3" width="6.92578125" bestFit="1" customWidth="1"/>
    <col min="4" max="4" width="17.5703125" bestFit="1" customWidth="1"/>
    <col min="5" max="5" width="10.92578125" bestFit="1" customWidth="1"/>
    <col min="6" max="6" width="8.5" bestFit="1" customWidth="1"/>
    <col min="7" max="7" width="15.7109375" bestFit="1" customWidth="1"/>
    <col min="8" max="9" width="11.92578125" bestFit="1" customWidth="1"/>
    <col min="10" max="10" width="6.28515625" bestFit="1" customWidth="1"/>
    <col min="11" max="11" width="8.42578125" bestFit="1" customWidth="1"/>
    <col min="12" max="12" width="4" bestFit="1" customWidth="1"/>
    <col min="13" max="13" width="8.92578125" bestFit="1" customWidth="1"/>
    <col min="15" max="15" width="8.5" bestFit="1" customWidth="1"/>
    <col min="16" max="16" width="5.2109375" bestFit="1" customWidth="1"/>
    <col min="17" max="17" width="4.92578125" bestFit="1" customWidth="1"/>
    <col min="18" max="18" width="11.92578125" bestFit="1" customWidth="1"/>
    <col min="19" max="19" width="6" bestFit="1" customWidth="1"/>
    <col min="20" max="20" width="5.2109375" bestFit="1" customWidth="1"/>
    <col min="21" max="21" width="8.0703125" bestFit="1" customWidth="1"/>
    <col min="22" max="22" width="6.5703125" bestFit="1" customWidth="1"/>
    <col min="23" max="23" width="12.5" bestFit="1" customWidth="1"/>
    <col min="24" max="24" width="11.92578125" bestFit="1" customWidth="1"/>
  </cols>
  <sheetData>
    <row r="1" spans="1:24" ht="19" thickBot="1" x14ac:dyDescent="0.5">
      <c r="A1" s="1" t="s">
        <v>0</v>
      </c>
      <c r="B1" s="1" t="s">
        <v>1</v>
      </c>
      <c r="C1" s="1" t="s">
        <v>2</v>
      </c>
      <c r="D1" s="1" t="s">
        <v>3</v>
      </c>
      <c r="F1" s="22"/>
      <c r="G1" s="101" t="s">
        <v>52</v>
      </c>
      <c r="H1" s="101" t="s">
        <v>53</v>
      </c>
      <c r="I1" s="101" t="s">
        <v>55</v>
      </c>
      <c r="J1" s="101" t="s">
        <v>54</v>
      </c>
      <c r="O1" s="22"/>
      <c r="P1" s="101" t="s">
        <v>52</v>
      </c>
      <c r="Q1" s="101" t="s">
        <v>53</v>
      </c>
      <c r="R1" s="101" t="s">
        <v>55</v>
      </c>
      <c r="S1" s="101" t="s">
        <v>54</v>
      </c>
    </row>
    <row r="2" spans="1:24" ht="19" thickTop="1" x14ac:dyDescent="0.45">
      <c r="A2" s="4" t="s">
        <v>6</v>
      </c>
      <c r="B2" s="4" t="s">
        <v>5</v>
      </c>
      <c r="C2" s="4">
        <v>15</v>
      </c>
      <c r="D2" s="5">
        <v>43678</v>
      </c>
      <c r="F2" s="101" t="s">
        <v>56</v>
      </c>
      <c r="G2" s="22">
        <f>AVERAGE($L$30:$L$41)</f>
        <v>-16.074999999999999</v>
      </c>
      <c r="H2" s="22">
        <f>_xlfn.STDEV.S($L$30:$L$41)</f>
        <v>5.072228307164413</v>
      </c>
      <c r="I2" s="22">
        <f>H2/SQRT(J2)</f>
        <v>1.4642261892663069</v>
      </c>
      <c r="J2" s="22">
        <f>COUNT(L30:L41)</f>
        <v>12</v>
      </c>
      <c r="O2" s="101" t="s">
        <v>56</v>
      </c>
      <c r="P2" s="102">
        <f>AVERAGE(T7:T12)</f>
        <v>-5.0236619899999999</v>
      </c>
      <c r="Q2" s="102">
        <f>_xlfn.STDEV.S($T$7:T12)</f>
        <v>1.6953848165559842</v>
      </c>
      <c r="R2" s="22">
        <f>Q2/SQRT(S2)</f>
        <v>0.75819913956803831</v>
      </c>
      <c r="S2" s="102">
        <f>COUNT($T$7:T12)</f>
        <v>5</v>
      </c>
    </row>
    <row r="3" spans="1:24" x14ac:dyDescent="0.45">
      <c r="F3" s="101" t="s">
        <v>57</v>
      </c>
      <c r="G3" s="22">
        <f>AVERAGE($M$30:$M$41)</f>
        <v>-148.75782470190322</v>
      </c>
      <c r="H3" s="22">
        <f>_xlfn.STDEV.S($M$30:$M$41)</f>
        <v>23.497136820978184</v>
      </c>
      <c r="I3" s="22">
        <f>H3/SQRT(J3)</f>
        <v>6.7830391343886118</v>
      </c>
      <c r="J3" s="22">
        <f>COUNT(M30:M41)</f>
        <v>12</v>
      </c>
      <c r="O3" s="101" t="s">
        <v>57</v>
      </c>
      <c r="P3" s="102">
        <f>AVERAGE(S7:S12)</f>
        <v>-88.963007511216645</v>
      </c>
      <c r="Q3" s="102">
        <f>_xlfn.STDEV.S($S$7:S12)</f>
        <v>8.7875747346868707</v>
      </c>
      <c r="R3" s="22">
        <f>Q3/SQRT(S3)</f>
        <v>3.5875123627593499</v>
      </c>
      <c r="S3" s="102">
        <f>COUNT($S$7:S12)</f>
        <v>6</v>
      </c>
    </row>
    <row r="6" spans="1:24" x14ac:dyDescent="0.45">
      <c r="A6" s="19" t="s">
        <v>15</v>
      </c>
      <c r="B6" s="20" t="s">
        <v>16</v>
      </c>
      <c r="C6" s="20" t="s">
        <v>17</v>
      </c>
      <c r="D6" s="20" t="s">
        <v>18</v>
      </c>
      <c r="E6" s="20" t="s">
        <v>19</v>
      </c>
      <c r="F6" s="20" t="s">
        <v>20</v>
      </c>
      <c r="G6" s="20" t="s">
        <v>21</v>
      </c>
      <c r="H6" s="20" t="s">
        <v>22</v>
      </c>
      <c r="I6" s="20" t="s">
        <v>23</v>
      </c>
      <c r="J6" s="20" t="s">
        <v>24</v>
      </c>
      <c r="K6" s="20" t="s">
        <v>25</v>
      </c>
      <c r="L6" s="20" t="s">
        <v>26</v>
      </c>
      <c r="M6" s="20" t="s">
        <v>27</v>
      </c>
      <c r="O6" t="s">
        <v>33</v>
      </c>
      <c r="P6" t="s">
        <v>34</v>
      </c>
      <c r="Q6" t="s">
        <v>35</v>
      </c>
      <c r="R6" t="s">
        <v>36</v>
      </c>
      <c r="S6" t="s">
        <v>27</v>
      </c>
      <c r="T6" t="s">
        <v>26</v>
      </c>
      <c r="U6" t="s">
        <v>37</v>
      </c>
      <c r="V6" t="s">
        <v>38</v>
      </c>
      <c r="W6" t="s">
        <v>39</v>
      </c>
      <c r="X6" t="s">
        <v>40</v>
      </c>
    </row>
    <row r="7" spans="1:24" x14ac:dyDescent="0.45">
      <c r="A7" s="25">
        <v>43678</v>
      </c>
      <c r="B7" s="26" t="s">
        <v>5</v>
      </c>
      <c r="C7" s="27">
        <v>1</v>
      </c>
      <c r="D7" s="27" t="s">
        <v>31</v>
      </c>
      <c r="E7" s="27">
        <v>5</v>
      </c>
      <c r="F7" s="28"/>
      <c r="G7" s="28"/>
      <c r="H7" s="29">
        <v>0.54166666666666663</v>
      </c>
      <c r="I7" s="30">
        <v>43678.541666666664</v>
      </c>
      <c r="J7" s="28"/>
      <c r="K7" s="27">
        <v>21000</v>
      </c>
      <c r="L7" s="27">
        <v>-10</v>
      </c>
      <c r="M7" s="27">
        <v>-127</v>
      </c>
      <c r="O7" s="49">
        <v>43678</v>
      </c>
      <c r="P7">
        <v>1</v>
      </c>
      <c r="Q7" s="50" t="s">
        <v>41</v>
      </c>
      <c r="R7" s="50" t="s">
        <v>42</v>
      </c>
      <c r="S7" s="51">
        <v>-102.8206019799</v>
      </c>
      <c r="T7" s="52">
        <v>-7.1734092027000003</v>
      </c>
      <c r="U7" s="53">
        <v>43678</v>
      </c>
      <c r="V7">
        <v>1</v>
      </c>
      <c r="W7">
        <v>-105.54382525</v>
      </c>
      <c r="X7">
        <v>0.17677492752968837</v>
      </c>
    </row>
    <row r="8" spans="1:24" x14ac:dyDescent="0.45">
      <c r="A8" s="25">
        <v>43678</v>
      </c>
      <c r="B8" s="26" t="s">
        <v>5</v>
      </c>
      <c r="C8" s="27">
        <v>1</v>
      </c>
      <c r="D8" s="27" t="s">
        <v>31</v>
      </c>
      <c r="E8" s="27">
        <v>10</v>
      </c>
      <c r="F8" s="28"/>
      <c r="G8" s="28"/>
      <c r="H8" s="29">
        <v>0.54583333333333328</v>
      </c>
      <c r="I8" s="30">
        <v>43678.54583333333</v>
      </c>
      <c r="J8" s="28"/>
      <c r="K8" s="27">
        <v>20800</v>
      </c>
      <c r="L8" s="27">
        <v>-16.3</v>
      </c>
      <c r="M8" s="27">
        <v>-153.5</v>
      </c>
      <c r="O8" s="49">
        <v>43678</v>
      </c>
      <c r="P8">
        <v>2</v>
      </c>
      <c r="Q8" s="50" t="s">
        <v>41</v>
      </c>
      <c r="R8" s="50" t="s">
        <v>42</v>
      </c>
      <c r="S8" s="51">
        <v>-94.104717721900002</v>
      </c>
      <c r="T8" s="52">
        <v>-5.2724419315000004</v>
      </c>
      <c r="U8" s="53">
        <v>43678</v>
      </c>
      <c r="V8">
        <v>2</v>
      </c>
      <c r="W8">
        <v>-94.098207999999971</v>
      </c>
      <c r="X8">
        <v>0.54325953338390076</v>
      </c>
    </row>
    <row r="9" spans="1:24" x14ac:dyDescent="0.45">
      <c r="A9" s="25">
        <v>43678</v>
      </c>
      <c r="B9" s="26" t="s">
        <v>5</v>
      </c>
      <c r="C9" s="27">
        <v>1</v>
      </c>
      <c r="D9" s="27" t="s">
        <v>31</v>
      </c>
      <c r="E9" s="27">
        <v>15</v>
      </c>
      <c r="F9" s="28"/>
      <c r="G9" s="28"/>
      <c r="H9" s="29">
        <v>0.55069444444444449</v>
      </c>
      <c r="I9" s="30">
        <v>43678.550694444442</v>
      </c>
      <c r="J9" s="28"/>
      <c r="K9" s="27">
        <v>20000</v>
      </c>
      <c r="L9" s="27">
        <v>-22</v>
      </c>
      <c r="M9" s="27">
        <v>-172</v>
      </c>
      <c r="O9" s="49">
        <v>43678</v>
      </c>
      <c r="P9">
        <v>3</v>
      </c>
      <c r="Q9" s="50" t="s">
        <v>41</v>
      </c>
      <c r="R9" s="50" t="s">
        <v>42</v>
      </c>
      <c r="S9" s="51">
        <v>-87.673072571000006</v>
      </c>
      <c r="T9" s="52" t="s">
        <v>51</v>
      </c>
      <c r="U9" s="53">
        <v>43678</v>
      </c>
      <c r="V9">
        <v>3</v>
      </c>
      <c r="W9">
        <v>-98.844502000000006</v>
      </c>
      <c r="X9">
        <v>0.80022991584171477</v>
      </c>
    </row>
    <row r="10" spans="1:24" x14ac:dyDescent="0.45">
      <c r="A10" s="25">
        <v>43678</v>
      </c>
      <c r="B10" s="26" t="s">
        <v>5</v>
      </c>
      <c r="C10" s="27">
        <v>1</v>
      </c>
      <c r="D10" s="27" t="s">
        <v>31</v>
      </c>
      <c r="E10" s="27">
        <v>25</v>
      </c>
      <c r="F10" s="28"/>
      <c r="G10" s="28"/>
      <c r="H10" s="29">
        <v>0.55555555555555558</v>
      </c>
      <c r="I10" s="30">
        <v>43678.555555555555</v>
      </c>
      <c r="J10" s="28"/>
      <c r="K10" s="27">
        <v>17000</v>
      </c>
      <c r="L10" s="27">
        <v>-24</v>
      </c>
      <c r="M10" s="27">
        <v>-179</v>
      </c>
      <c r="O10" s="49">
        <v>43678</v>
      </c>
      <c r="P10">
        <v>5</v>
      </c>
      <c r="Q10" s="50" t="s">
        <v>41</v>
      </c>
      <c r="R10" s="50" t="s">
        <v>42</v>
      </c>
      <c r="S10" s="51">
        <v>-81.344616200399997</v>
      </c>
      <c r="T10" s="52">
        <v>-2.9615744530999999</v>
      </c>
      <c r="U10" s="53">
        <v>43678</v>
      </c>
      <c r="V10">
        <v>5</v>
      </c>
      <c r="W10">
        <v>-80.697732250000001</v>
      </c>
      <c r="X10">
        <v>0.63035352206926942</v>
      </c>
    </row>
    <row r="11" spans="1:24" x14ac:dyDescent="0.45">
      <c r="A11" s="19">
        <v>43678</v>
      </c>
      <c r="B11" s="21" t="s">
        <v>5</v>
      </c>
      <c r="C11" s="20">
        <v>1</v>
      </c>
      <c r="D11" s="20" t="s">
        <v>31</v>
      </c>
      <c r="E11" s="20">
        <v>40</v>
      </c>
      <c r="F11" s="22"/>
      <c r="G11" s="22"/>
      <c r="H11" s="23">
        <v>0.5625</v>
      </c>
      <c r="I11" s="24">
        <v>43678.5625</v>
      </c>
      <c r="J11" s="22"/>
      <c r="K11" s="20">
        <v>20000</v>
      </c>
      <c r="L11" s="20">
        <v>-26.5</v>
      </c>
      <c r="M11" s="20">
        <v>-190</v>
      </c>
      <c r="O11" s="49">
        <v>43678</v>
      </c>
      <c r="P11">
        <v>6</v>
      </c>
      <c r="Q11" s="50" t="s">
        <v>41</v>
      </c>
      <c r="R11" s="50" t="s">
        <v>42</v>
      </c>
      <c r="S11" s="51">
        <v>-89.256970474200003</v>
      </c>
      <c r="T11" s="52">
        <v>-5.9746413033000003</v>
      </c>
      <c r="U11" s="53">
        <v>43678</v>
      </c>
      <c r="V11">
        <v>6</v>
      </c>
      <c r="W11">
        <v>-89.491546749999998</v>
      </c>
      <c r="X11">
        <v>0.62862888862996869</v>
      </c>
    </row>
    <row r="12" spans="1:24" x14ac:dyDescent="0.45">
      <c r="A12" s="19">
        <v>43678</v>
      </c>
      <c r="B12" s="21" t="s">
        <v>5</v>
      </c>
      <c r="C12" s="20">
        <v>1</v>
      </c>
      <c r="D12" s="20" t="s">
        <v>31</v>
      </c>
      <c r="E12" s="20">
        <v>60</v>
      </c>
      <c r="F12" s="22"/>
      <c r="G12" s="22"/>
      <c r="H12" s="23">
        <v>0.56874999999999998</v>
      </c>
      <c r="I12" s="24">
        <v>43678.568749999999</v>
      </c>
      <c r="J12" s="22"/>
      <c r="K12" s="20">
        <v>22000</v>
      </c>
      <c r="L12" s="20">
        <v>-23.5</v>
      </c>
      <c r="M12" s="20">
        <v>-180</v>
      </c>
      <c r="O12" s="49">
        <v>43678</v>
      </c>
      <c r="P12">
        <v>7</v>
      </c>
      <c r="Q12" s="50" t="s">
        <v>41</v>
      </c>
      <c r="R12" s="50" t="s">
        <v>42</v>
      </c>
      <c r="S12" s="51">
        <v>-78.578066119900001</v>
      </c>
      <c r="T12" s="52">
        <v>-3.7362430594</v>
      </c>
      <c r="U12" s="53">
        <v>43678</v>
      </c>
      <c r="V12">
        <v>7</v>
      </c>
      <c r="W12">
        <v>-79.069313649999998</v>
      </c>
      <c r="X12">
        <v>1.7106193607283335</v>
      </c>
    </row>
    <row r="13" spans="1:24" x14ac:dyDescent="0.45">
      <c r="A13" s="19">
        <v>43678</v>
      </c>
      <c r="B13" s="21" t="s">
        <v>5</v>
      </c>
      <c r="C13" s="20">
        <v>1</v>
      </c>
      <c r="D13" s="20" t="s">
        <v>31</v>
      </c>
      <c r="E13" s="20">
        <v>100</v>
      </c>
      <c r="F13" s="22"/>
      <c r="G13" s="22"/>
      <c r="H13" s="23">
        <v>0.57361111111111118</v>
      </c>
      <c r="I13" s="24">
        <v>43678.573611111111</v>
      </c>
      <c r="J13" s="22"/>
      <c r="K13" s="20">
        <v>20000</v>
      </c>
      <c r="L13" s="20">
        <v>-21</v>
      </c>
      <c r="M13" s="20">
        <v>-168</v>
      </c>
    </row>
    <row r="14" spans="1:24" x14ac:dyDescent="0.45">
      <c r="A14" s="25">
        <v>43678</v>
      </c>
      <c r="B14" s="26" t="s">
        <v>5</v>
      </c>
      <c r="C14" s="27">
        <v>2</v>
      </c>
      <c r="D14" s="27" t="s">
        <v>28</v>
      </c>
      <c r="E14" s="27">
        <v>5</v>
      </c>
      <c r="F14" s="28"/>
      <c r="G14" s="28"/>
      <c r="H14" s="29">
        <v>0.58402777777777781</v>
      </c>
      <c r="I14" s="30">
        <v>43678.584027777775</v>
      </c>
      <c r="J14" s="28"/>
      <c r="K14" s="27">
        <v>24000</v>
      </c>
      <c r="L14" s="27">
        <v>-6.8</v>
      </c>
      <c r="M14" s="27">
        <v>-99</v>
      </c>
    </row>
    <row r="15" spans="1:24" x14ac:dyDescent="0.45">
      <c r="A15" s="25">
        <v>43678</v>
      </c>
      <c r="B15" s="26" t="s">
        <v>5</v>
      </c>
      <c r="C15" s="27">
        <v>2</v>
      </c>
      <c r="D15" s="27" t="s">
        <v>28</v>
      </c>
      <c r="E15" s="27">
        <v>10</v>
      </c>
      <c r="F15" s="28"/>
      <c r="G15" s="28"/>
      <c r="H15" s="29">
        <v>0.58750000000000002</v>
      </c>
      <c r="I15" s="30">
        <v>43678.587500000001</v>
      </c>
      <c r="J15" s="28"/>
      <c r="K15" s="27">
        <v>16500</v>
      </c>
      <c r="L15" s="27">
        <v>-13.2</v>
      </c>
      <c r="M15" s="27">
        <v>-135.5938964228387</v>
      </c>
    </row>
    <row r="16" spans="1:24" x14ac:dyDescent="0.45">
      <c r="A16" s="25">
        <v>43678</v>
      </c>
      <c r="B16" s="26" t="s">
        <v>5</v>
      </c>
      <c r="C16" s="27">
        <v>2</v>
      </c>
      <c r="D16" s="27" t="s">
        <v>28</v>
      </c>
      <c r="E16" s="27">
        <v>15</v>
      </c>
      <c r="F16" s="28"/>
      <c r="G16" s="28"/>
      <c r="H16" s="29">
        <v>0.59305555555555556</v>
      </c>
      <c r="I16" s="30">
        <v>43678.593055555553</v>
      </c>
      <c r="J16" s="28"/>
      <c r="K16" s="27">
        <v>14700</v>
      </c>
      <c r="L16" s="27">
        <v>-15</v>
      </c>
      <c r="M16" s="27">
        <v>-150</v>
      </c>
    </row>
    <row r="17" spans="1:13" x14ac:dyDescent="0.45">
      <c r="A17" s="25">
        <v>43678</v>
      </c>
      <c r="B17" s="26" t="s">
        <v>5</v>
      </c>
      <c r="C17" s="27">
        <v>2</v>
      </c>
      <c r="D17" s="27" t="s">
        <v>28</v>
      </c>
      <c r="E17" s="27">
        <v>25</v>
      </c>
      <c r="F17" s="28"/>
      <c r="G17" s="28"/>
      <c r="H17" s="29">
        <v>0.59652777777777777</v>
      </c>
      <c r="I17" s="30">
        <v>43678.59652777778</v>
      </c>
      <c r="J17" s="28"/>
      <c r="K17" s="27">
        <v>17700</v>
      </c>
      <c r="L17" s="27">
        <v>-19.2</v>
      </c>
      <c r="M17" s="27">
        <v>-165</v>
      </c>
    </row>
    <row r="18" spans="1:13" x14ac:dyDescent="0.45">
      <c r="A18" s="19">
        <v>43678</v>
      </c>
      <c r="B18" s="21" t="s">
        <v>5</v>
      </c>
      <c r="C18" s="20">
        <v>2</v>
      </c>
      <c r="D18" s="20" t="s">
        <v>28</v>
      </c>
      <c r="E18" s="20">
        <v>40</v>
      </c>
      <c r="F18" s="22"/>
      <c r="G18" s="22"/>
      <c r="H18" s="23">
        <v>0.6</v>
      </c>
      <c r="I18" s="24">
        <v>43678.6</v>
      </c>
      <c r="J18" s="22"/>
      <c r="K18" s="20">
        <v>18600</v>
      </c>
      <c r="L18" s="20">
        <v>-20</v>
      </c>
      <c r="M18" s="20">
        <v>-165</v>
      </c>
    </row>
    <row r="19" spans="1:13" x14ac:dyDescent="0.45">
      <c r="A19" s="19">
        <v>43678</v>
      </c>
      <c r="B19" s="21" t="s">
        <v>5</v>
      </c>
      <c r="C19" s="20">
        <v>2</v>
      </c>
      <c r="D19" s="20" t="s">
        <v>28</v>
      </c>
      <c r="E19" s="20">
        <v>60</v>
      </c>
      <c r="F19" s="22"/>
      <c r="G19" s="22"/>
      <c r="H19" s="23">
        <v>0.60347222222222219</v>
      </c>
      <c r="I19" s="24">
        <v>43678.603472222225</v>
      </c>
      <c r="J19" s="22"/>
      <c r="K19" s="20">
        <v>18600</v>
      </c>
      <c r="L19" s="20">
        <v>-19</v>
      </c>
      <c r="M19" s="20">
        <v>-160</v>
      </c>
    </row>
    <row r="20" spans="1:13" x14ac:dyDescent="0.45">
      <c r="A20" s="19">
        <v>43678</v>
      </c>
      <c r="B20" s="21" t="s">
        <v>5</v>
      </c>
      <c r="C20" s="20">
        <v>2</v>
      </c>
      <c r="D20" s="20" t="s">
        <v>28</v>
      </c>
      <c r="E20" s="20">
        <v>100</v>
      </c>
      <c r="F20" s="22"/>
      <c r="G20" s="22"/>
      <c r="H20" s="23">
        <v>0.60902777777777783</v>
      </c>
      <c r="I20" s="24">
        <v>43678.609027777777</v>
      </c>
      <c r="J20" s="22"/>
      <c r="K20" s="20">
        <v>17900</v>
      </c>
      <c r="L20" s="20">
        <v>-19.5</v>
      </c>
      <c r="M20" s="20">
        <v>-160</v>
      </c>
    </row>
    <row r="21" spans="1:13" x14ac:dyDescent="0.45">
      <c r="A21" s="25">
        <v>43678</v>
      </c>
      <c r="B21" s="26" t="s">
        <v>5</v>
      </c>
      <c r="C21" s="27">
        <v>3</v>
      </c>
      <c r="D21" s="27" t="s">
        <v>30</v>
      </c>
      <c r="E21" s="27">
        <v>5</v>
      </c>
      <c r="F21" s="28"/>
      <c r="G21" s="28"/>
      <c r="H21" s="29">
        <v>0.61805555555555558</v>
      </c>
      <c r="I21" s="30">
        <v>43678.618055555555</v>
      </c>
      <c r="J21" s="28"/>
      <c r="K21" s="27">
        <v>24000</v>
      </c>
      <c r="L21" s="27">
        <v>-13.5</v>
      </c>
      <c r="M21" s="27">
        <v>-128</v>
      </c>
    </row>
    <row r="22" spans="1:13" x14ac:dyDescent="0.45">
      <c r="A22" s="25">
        <v>43678</v>
      </c>
      <c r="B22" s="26" t="s">
        <v>5</v>
      </c>
      <c r="C22" s="27">
        <v>3</v>
      </c>
      <c r="D22" s="27" t="s">
        <v>30</v>
      </c>
      <c r="E22" s="27">
        <v>10</v>
      </c>
      <c r="F22" s="28"/>
      <c r="G22" s="28"/>
      <c r="H22" s="29">
        <v>0.62361111111111112</v>
      </c>
      <c r="I22" s="30">
        <v>43678.623611111114</v>
      </c>
      <c r="J22" s="28"/>
      <c r="K22" s="27">
        <v>23000</v>
      </c>
      <c r="L22" s="27">
        <v>-15</v>
      </c>
      <c r="M22" s="27">
        <v>-146</v>
      </c>
    </row>
    <row r="23" spans="1:13" x14ac:dyDescent="0.45">
      <c r="A23" s="25">
        <v>43678</v>
      </c>
      <c r="B23" s="26" t="s">
        <v>5</v>
      </c>
      <c r="C23" s="27">
        <v>3</v>
      </c>
      <c r="D23" s="27" t="s">
        <v>30</v>
      </c>
      <c r="E23" s="27">
        <v>15</v>
      </c>
      <c r="F23" s="28"/>
      <c r="G23" s="28"/>
      <c r="H23" s="29">
        <v>0.62847222222222221</v>
      </c>
      <c r="I23" s="30">
        <v>43678.628472222219</v>
      </c>
      <c r="J23" s="28"/>
      <c r="K23" s="27">
        <v>22500</v>
      </c>
      <c r="L23" s="27">
        <v>-15.9</v>
      </c>
      <c r="M23" s="27">
        <v>-154</v>
      </c>
    </row>
    <row r="24" spans="1:13" x14ac:dyDescent="0.45">
      <c r="A24" s="25">
        <v>43678</v>
      </c>
      <c r="B24" s="26" t="s">
        <v>5</v>
      </c>
      <c r="C24" s="27">
        <v>3</v>
      </c>
      <c r="D24" s="27" t="s">
        <v>30</v>
      </c>
      <c r="E24" s="27">
        <v>25</v>
      </c>
      <c r="F24" s="28"/>
      <c r="G24" s="28"/>
      <c r="H24" s="29">
        <v>0.63194444444444442</v>
      </c>
      <c r="I24" s="30">
        <v>43678.631944444445</v>
      </c>
      <c r="J24" s="28"/>
      <c r="K24" s="27">
        <v>16000</v>
      </c>
      <c r="L24" s="27">
        <v>-22</v>
      </c>
      <c r="M24" s="27">
        <v>-176</v>
      </c>
    </row>
    <row r="25" spans="1:13" x14ac:dyDescent="0.45">
      <c r="A25" s="19">
        <v>43678</v>
      </c>
      <c r="B25" s="21" t="s">
        <v>5</v>
      </c>
      <c r="C25" s="20">
        <v>3</v>
      </c>
      <c r="D25" s="20" t="s">
        <v>30</v>
      </c>
      <c r="E25" s="20">
        <v>40</v>
      </c>
      <c r="F25" s="22"/>
      <c r="G25" s="22"/>
      <c r="H25" s="23">
        <v>0.63680555555555551</v>
      </c>
      <c r="I25" s="24">
        <v>43678.636805555558</v>
      </c>
      <c r="J25" s="22"/>
      <c r="K25" s="20">
        <v>17500</v>
      </c>
      <c r="L25" s="20">
        <v>-23.5</v>
      </c>
      <c r="M25" s="20">
        <v>-180</v>
      </c>
    </row>
    <row r="26" spans="1:13" x14ac:dyDescent="0.45">
      <c r="A26" s="19">
        <v>43678</v>
      </c>
      <c r="B26" s="21" t="s">
        <v>5</v>
      </c>
      <c r="C26" s="20">
        <v>3</v>
      </c>
      <c r="D26" s="20" t="s">
        <v>30</v>
      </c>
      <c r="E26" s="20">
        <v>60</v>
      </c>
      <c r="F26" s="22"/>
      <c r="G26" s="22"/>
      <c r="H26" s="23">
        <v>0.64027777777777783</v>
      </c>
      <c r="I26" s="24">
        <v>43678.640277777777</v>
      </c>
      <c r="J26" s="22"/>
      <c r="K26" s="20">
        <v>19750</v>
      </c>
      <c r="L26" s="20">
        <v>-21.5</v>
      </c>
      <c r="M26" s="20">
        <v>-171</v>
      </c>
    </row>
    <row r="27" spans="1:13" x14ac:dyDescent="0.45">
      <c r="A27" s="19">
        <v>43678</v>
      </c>
      <c r="B27" s="21" t="s">
        <v>5</v>
      </c>
      <c r="C27" s="20">
        <v>3</v>
      </c>
      <c r="D27" s="20" t="s">
        <v>30</v>
      </c>
      <c r="E27" s="20">
        <v>100</v>
      </c>
      <c r="F27" s="20"/>
      <c r="G27" s="20"/>
      <c r="H27" s="23">
        <v>0.64374999999999993</v>
      </c>
      <c r="I27" s="24">
        <v>43678.643750000003</v>
      </c>
      <c r="J27" s="20"/>
      <c r="K27" s="20">
        <v>17000</v>
      </c>
      <c r="L27" s="20">
        <v>-21.2</v>
      </c>
      <c r="M27" s="20">
        <v>-165</v>
      </c>
    </row>
    <row r="29" spans="1:13" x14ac:dyDescent="0.45">
      <c r="A29" s="19" t="s">
        <v>15</v>
      </c>
      <c r="B29" s="20" t="s">
        <v>16</v>
      </c>
      <c r="C29" s="20" t="s">
        <v>17</v>
      </c>
      <c r="D29" s="20" t="s">
        <v>18</v>
      </c>
      <c r="E29" s="20" t="s">
        <v>19</v>
      </c>
      <c r="F29" s="20" t="s">
        <v>20</v>
      </c>
      <c r="G29" s="20" t="s">
        <v>21</v>
      </c>
      <c r="H29" s="20" t="s">
        <v>22</v>
      </c>
      <c r="I29" s="20" t="s">
        <v>23</v>
      </c>
      <c r="J29" s="20" t="s">
        <v>24</v>
      </c>
      <c r="K29" s="20" t="s">
        <v>25</v>
      </c>
      <c r="L29" s="20" t="s">
        <v>26</v>
      </c>
      <c r="M29" s="20" t="s">
        <v>27</v>
      </c>
    </row>
    <row r="30" spans="1:13" x14ac:dyDescent="0.45">
      <c r="A30" s="25">
        <v>43678</v>
      </c>
      <c r="B30" s="26" t="s">
        <v>5</v>
      </c>
      <c r="C30" s="27">
        <v>1</v>
      </c>
      <c r="D30" s="27" t="s">
        <v>31</v>
      </c>
      <c r="E30" s="27">
        <v>5</v>
      </c>
      <c r="F30" s="28"/>
      <c r="G30" s="28"/>
      <c r="H30" s="29">
        <v>0.54166666666666663</v>
      </c>
      <c r="I30" s="30">
        <v>43678.541666666664</v>
      </c>
      <c r="J30" s="28"/>
      <c r="K30" s="27">
        <v>21000</v>
      </c>
      <c r="L30" s="27">
        <v>-10</v>
      </c>
      <c r="M30" s="27">
        <v>-127</v>
      </c>
    </row>
    <row r="31" spans="1:13" x14ac:dyDescent="0.45">
      <c r="A31" s="25">
        <v>43678</v>
      </c>
      <c r="B31" s="26" t="s">
        <v>5</v>
      </c>
      <c r="C31" s="27">
        <v>1</v>
      </c>
      <c r="D31" s="27" t="s">
        <v>31</v>
      </c>
      <c r="E31" s="27">
        <v>10</v>
      </c>
      <c r="F31" s="28"/>
      <c r="G31" s="28"/>
      <c r="H31" s="29">
        <v>0.54583333333333328</v>
      </c>
      <c r="I31" s="30">
        <v>43678.54583333333</v>
      </c>
      <c r="J31" s="28"/>
      <c r="K31" s="27">
        <v>20800</v>
      </c>
      <c r="L31" s="27">
        <v>-16.3</v>
      </c>
      <c r="M31" s="27">
        <v>-153.5</v>
      </c>
    </row>
    <row r="32" spans="1:13" x14ac:dyDescent="0.45">
      <c r="A32" s="25">
        <v>43678</v>
      </c>
      <c r="B32" s="26" t="s">
        <v>5</v>
      </c>
      <c r="C32" s="27">
        <v>1</v>
      </c>
      <c r="D32" s="27" t="s">
        <v>31</v>
      </c>
      <c r="E32" s="27">
        <v>15</v>
      </c>
      <c r="F32" s="28"/>
      <c r="G32" s="28"/>
      <c r="H32" s="29">
        <v>0.55069444444444449</v>
      </c>
      <c r="I32" s="30">
        <v>43678.550694444442</v>
      </c>
      <c r="J32" s="28"/>
      <c r="K32" s="27">
        <v>20000</v>
      </c>
      <c r="L32" s="27">
        <v>-22</v>
      </c>
      <c r="M32" s="27">
        <v>-172</v>
      </c>
    </row>
    <row r="33" spans="1:13" x14ac:dyDescent="0.45">
      <c r="A33" s="25">
        <v>43678</v>
      </c>
      <c r="B33" s="26" t="s">
        <v>5</v>
      </c>
      <c r="C33" s="27">
        <v>1</v>
      </c>
      <c r="D33" s="27" t="s">
        <v>31</v>
      </c>
      <c r="E33" s="27">
        <v>25</v>
      </c>
      <c r="F33" s="28"/>
      <c r="G33" s="28"/>
      <c r="H33" s="29">
        <v>0.55555555555555558</v>
      </c>
      <c r="I33" s="30">
        <v>43678.555555555555</v>
      </c>
      <c r="J33" s="28"/>
      <c r="K33" s="27">
        <v>17000</v>
      </c>
      <c r="L33" s="27">
        <v>-24</v>
      </c>
      <c r="M33" s="27">
        <v>-179</v>
      </c>
    </row>
    <row r="34" spans="1:13" x14ac:dyDescent="0.45">
      <c r="A34" s="25">
        <v>43678</v>
      </c>
      <c r="B34" s="26" t="s">
        <v>5</v>
      </c>
      <c r="C34" s="27">
        <v>2</v>
      </c>
      <c r="D34" s="27" t="s">
        <v>28</v>
      </c>
      <c r="E34" s="27">
        <v>5</v>
      </c>
      <c r="F34" s="28"/>
      <c r="G34" s="28"/>
      <c r="H34" s="29">
        <v>0.58402777777777781</v>
      </c>
      <c r="I34" s="30">
        <v>43678.584027777775</v>
      </c>
      <c r="J34" s="28"/>
      <c r="K34" s="27">
        <v>24000</v>
      </c>
      <c r="L34" s="27">
        <v>-6.8</v>
      </c>
      <c r="M34" s="27">
        <v>-99</v>
      </c>
    </row>
    <row r="35" spans="1:13" x14ac:dyDescent="0.45">
      <c r="A35" s="25">
        <v>43678</v>
      </c>
      <c r="B35" s="26" t="s">
        <v>5</v>
      </c>
      <c r="C35" s="27">
        <v>2</v>
      </c>
      <c r="D35" s="27" t="s">
        <v>28</v>
      </c>
      <c r="E35" s="27">
        <v>10</v>
      </c>
      <c r="F35" s="28"/>
      <c r="G35" s="28"/>
      <c r="H35" s="29">
        <v>0.58750000000000002</v>
      </c>
      <c r="I35" s="30">
        <v>43678.587500000001</v>
      </c>
      <c r="J35" s="28"/>
      <c r="K35" s="27">
        <v>16500</v>
      </c>
      <c r="L35" s="27">
        <v>-13.2</v>
      </c>
      <c r="M35" s="27">
        <v>-135.5938964228387</v>
      </c>
    </row>
    <row r="36" spans="1:13" x14ac:dyDescent="0.45">
      <c r="A36" s="25">
        <v>43678</v>
      </c>
      <c r="B36" s="26" t="s">
        <v>5</v>
      </c>
      <c r="C36" s="27">
        <v>2</v>
      </c>
      <c r="D36" s="27" t="s">
        <v>28</v>
      </c>
      <c r="E36" s="27">
        <v>15</v>
      </c>
      <c r="F36" s="28"/>
      <c r="G36" s="28"/>
      <c r="H36" s="29">
        <v>0.59305555555555556</v>
      </c>
      <c r="I36" s="30">
        <v>43678.593055555553</v>
      </c>
      <c r="J36" s="28"/>
      <c r="K36" s="27">
        <v>14700</v>
      </c>
      <c r="L36" s="27">
        <v>-15</v>
      </c>
      <c r="M36" s="27">
        <v>-150</v>
      </c>
    </row>
    <row r="37" spans="1:13" x14ac:dyDescent="0.45">
      <c r="A37" s="25">
        <v>43678</v>
      </c>
      <c r="B37" s="26" t="s">
        <v>5</v>
      </c>
      <c r="C37" s="27">
        <v>2</v>
      </c>
      <c r="D37" s="27" t="s">
        <v>28</v>
      </c>
      <c r="E37" s="27">
        <v>25</v>
      </c>
      <c r="F37" s="28"/>
      <c r="G37" s="28"/>
      <c r="H37" s="29">
        <v>0.59652777777777777</v>
      </c>
      <c r="I37" s="30">
        <v>43678.59652777778</v>
      </c>
      <c r="J37" s="28"/>
      <c r="K37" s="27">
        <v>17700</v>
      </c>
      <c r="L37" s="27">
        <v>-19.2</v>
      </c>
      <c r="M37" s="27">
        <v>-165</v>
      </c>
    </row>
    <row r="38" spans="1:13" x14ac:dyDescent="0.45">
      <c r="A38" s="25">
        <v>43678</v>
      </c>
      <c r="B38" s="26" t="s">
        <v>5</v>
      </c>
      <c r="C38" s="27">
        <v>3</v>
      </c>
      <c r="D38" s="27" t="s">
        <v>30</v>
      </c>
      <c r="E38" s="27">
        <v>5</v>
      </c>
      <c r="F38" s="28"/>
      <c r="G38" s="28"/>
      <c r="H38" s="29">
        <v>0.61805555555555558</v>
      </c>
      <c r="I38" s="30">
        <v>43678.618055555555</v>
      </c>
      <c r="J38" s="28"/>
      <c r="K38" s="27">
        <v>24000</v>
      </c>
      <c r="L38" s="27">
        <v>-13.5</v>
      </c>
      <c r="M38" s="27">
        <v>-128</v>
      </c>
    </row>
    <row r="39" spans="1:13" x14ac:dyDescent="0.45">
      <c r="A39" s="25">
        <v>43678</v>
      </c>
      <c r="B39" s="26" t="s">
        <v>5</v>
      </c>
      <c r="C39" s="27">
        <v>3</v>
      </c>
      <c r="D39" s="27" t="s">
        <v>30</v>
      </c>
      <c r="E39" s="27">
        <v>10</v>
      </c>
      <c r="F39" s="28"/>
      <c r="G39" s="28"/>
      <c r="H39" s="29">
        <v>0.62361111111111112</v>
      </c>
      <c r="I39" s="30">
        <v>43678.623611111114</v>
      </c>
      <c r="J39" s="28"/>
      <c r="K39" s="27">
        <v>23000</v>
      </c>
      <c r="L39" s="27">
        <v>-15</v>
      </c>
      <c r="M39" s="27">
        <v>-146</v>
      </c>
    </row>
    <row r="40" spans="1:13" x14ac:dyDescent="0.45">
      <c r="A40" s="25">
        <v>43678</v>
      </c>
      <c r="B40" s="26" t="s">
        <v>5</v>
      </c>
      <c r="C40" s="27">
        <v>3</v>
      </c>
      <c r="D40" s="27" t="s">
        <v>30</v>
      </c>
      <c r="E40" s="27">
        <v>15</v>
      </c>
      <c r="F40" s="28"/>
      <c r="G40" s="28"/>
      <c r="H40" s="29">
        <v>0.62847222222222221</v>
      </c>
      <c r="I40" s="30">
        <v>43678.628472222219</v>
      </c>
      <c r="J40" s="28"/>
      <c r="K40" s="27">
        <v>22500</v>
      </c>
      <c r="L40" s="27">
        <v>-15.9</v>
      </c>
      <c r="M40" s="27">
        <v>-154</v>
      </c>
    </row>
    <row r="41" spans="1:13" x14ac:dyDescent="0.45">
      <c r="A41" s="25">
        <v>43678</v>
      </c>
      <c r="B41" s="26" t="s">
        <v>5</v>
      </c>
      <c r="C41" s="27">
        <v>3</v>
      </c>
      <c r="D41" s="27" t="s">
        <v>30</v>
      </c>
      <c r="E41" s="27">
        <v>25</v>
      </c>
      <c r="F41" s="28"/>
      <c r="G41" s="28"/>
      <c r="H41" s="29">
        <v>0.63194444444444442</v>
      </c>
      <c r="I41" s="30">
        <v>43678.631944444445</v>
      </c>
      <c r="J41" s="28"/>
      <c r="K41" s="27">
        <v>16000</v>
      </c>
      <c r="L41" s="27">
        <v>-22</v>
      </c>
      <c r="M41" s="27">
        <v>-176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D6CD-4DC2-4A83-AFDA-D8BBE07B053C}">
  <dimension ref="A1:X41"/>
  <sheetViews>
    <sheetView topLeftCell="D1" workbookViewId="0">
      <selection activeCell="S3" activeCellId="2" sqref="P3 R3 S3"/>
    </sheetView>
  </sheetViews>
  <sheetFormatPr defaultRowHeight="18.5" x14ac:dyDescent="0.45"/>
  <cols>
    <col min="1" max="1" width="9.42578125" bestFit="1" customWidth="1"/>
    <col min="2" max="2" width="5.92578125" bestFit="1" customWidth="1"/>
    <col min="3" max="3" width="6.92578125" bestFit="1" customWidth="1"/>
    <col min="4" max="4" width="18.5703125" bestFit="1" customWidth="1"/>
    <col min="5" max="5" width="10.92578125" bestFit="1" customWidth="1"/>
    <col min="6" max="6" width="8.5" bestFit="1" customWidth="1"/>
    <col min="7" max="7" width="15.7109375" bestFit="1" customWidth="1"/>
    <col min="8" max="8" width="6.7109375" bestFit="1" customWidth="1"/>
    <col min="9" max="9" width="10.28515625" bestFit="1" customWidth="1"/>
    <col min="10" max="10" width="6.28515625" bestFit="1" customWidth="1"/>
    <col min="11" max="11" width="8.42578125" bestFit="1" customWidth="1"/>
    <col min="12" max="12" width="4" bestFit="1" customWidth="1"/>
    <col min="13" max="13" width="3.28515625" bestFit="1" customWidth="1"/>
    <col min="15" max="15" width="9.0703125" bestFit="1" customWidth="1"/>
    <col min="16" max="16" width="5.2109375" bestFit="1" customWidth="1"/>
    <col min="17" max="17" width="4.92578125" bestFit="1" customWidth="1"/>
    <col min="18" max="18" width="11.92578125" bestFit="1" customWidth="1"/>
    <col min="19" max="19" width="5" bestFit="1" customWidth="1"/>
    <col min="20" max="20" width="5.2109375" bestFit="1" customWidth="1"/>
    <col min="21" max="21" width="9.0703125" bestFit="1" customWidth="1"/>
    <col min="22" max="22" width="6.5703125" bestFit="1" customWidth="1"/>
    <col min="23" max="23" width="12.5" bestFit="1" customWidth="1"/>
    <col min="24" max="24" width="11.92578125" bestFit="1" customWidth="1"/>
  </cols>
  <sheetData>
    <row r="1" spans="1:24" ht="19" thickBot="1" x14ac:dyDescent="0.5">
      <c r="A1" s="1" t="s">
        <v>0</v>
      </c>
      <c r="B1" s="1" t="s">
        <v>1</v>
      </c>
      <c r="C1" s="1" t="s">
        <v>2</v>
      </c>
      <c r="D1" s="1" t="s">
        <v>3</v>
      </c>
      <c r="F1" s="22"/>
      <c r="G1" s="101" t="s">
        <v>52</v>
      </c>
      <c r="H1" s="101" t="s">
        <v>53</v>
      </c>
      <c r="I1" s="101" t="s">
        <v>55</v>
      </c>
      <c r="J1" s="101" t="s">
        <v>54</v>
      </c>
      <c r="O1" s="22"/>
      <c r="P1" s="101" t="s">
        <v>52</v>
      </c>
      <c r="Q1" s="101" t="s">
        <v>53</v>
      </c>
      <c r="R1" s="101" t="s">
        <v>55</v>
      </c>
      <c r="S1" s="101" t="s">
        <v>54</v>
      </c>
    </row>
    <row r="2" spans="1:24" ht="19" thickTop="1" x14ac:dyDescent="0.45">
      <c r="A2" s="4" t="s">
        <v>7</v>
      </c>
      <c r="B2" s="4" t="s">
        <v>5</v>
      </c>
      <c r="C2" s="4">
        <v>15</v>
      </c>
      <c r="D2" s="5">
        <v>43691</v>
      </c>
      <c r="F2" s="101" t="s">
        <v>56</v>
      </c>
      <c r="G2" s="22">
        <f>AVERAGE($L$30:$L$41)</f>
        <v>-13.041666666666666</v>
      </c>
      <c r="H2" s="22">
        <f>_xlfn.STDEV.S($L$30:$L$41)</f>
        <v>6.1666932841358397</v>
      </c>
      <c r="I2" s="22">
        <f>H2/SQRT(J2)</f>
        <v>1.7801710138028424</v>
      </c>
      <c r="J2" s="22">
        <f>COUNT(L30:L41)</f>
        <v>12</v>
      </c>
      <c r="O2" s="101" t="s">
        <v>56</v>
      </c>
      <c r="P2" s="102">
        <f>AVERAGE(T7:T12)</f>
        <v>-3.0016650598833334</v>
      </c>
      <c r="Q2" s="102">
        <f>_xlfn.STDEV.S($T$7:T12)</f>
        <v>0.4794342324311846</v>
      </c>
      <c r="R2" s="22">
        <f>Q2/SQRT(S2)</f>
        <v>0.19572820577988548</v>
      </c>
      <c r="S2" s="102">
        <f>COUNT($T$7:T12)</f>
        <v>6</v>
      </c>
    </row>
    <row r="3" spans="1:24" x14ac:dyDescent="0.45">
      <c r="F3" s="101" t="s">
        <v>57</v>
      </c>
      <c r="G3" s="22">
        <f>AVERAGE($M$30:$M$41)</f>
        <v>-122</v>
      </c>
      <c r="H3" s="22">
        <f>_xlfn.STDEV.S($M$30:$M$41)</f>
        <v>36.311781208658083</v>
      </c>
      <c r="I3" s="22">
        <f>H3/SQRT(J3)</f>
        <v>10.48230832778677</v>
      </c>
      <c r="J3" s="22">
        <f>COUNT(M30:M41)</f>
        <v>12</v>
      </c>
      <c r="O3" s="101" t="s">
        <v>57</v>
      </c>
      <c r="P3" s="102">
        <f>AVERAGE(S7:S12)</f>
        <v>-67.483756478616669</v>
      </c>
      <c r="Q3" s="102">
        <f>_xlfn.STDEV.S($S$7:S12)</f>
        <v>5.6485931383610417</v>
      </c>
      <c r="R3" s="22">
        <f>Q3/SQRT(S3)</f>
        <v>2.3060284922618024</v>
      </c>
      <c r="S3" s="102">
        <f>COUNT($S$7:S12)</f>
        <v>6</v>
      </c>
    </row>
    <row r="6" spans="1:24" x14ac:dyDescent="0.45">
      <c r="A6" s="19" t="s">
        <v>15</v>
      </c>
      <c r="B6" s="20" t="s">
        <v>16</v>
      </c>
      <c r="C6" s="20" t="s">
        <v>17</v>
      </c>
      <c r="D6" s="20" t="s">
        <v>18</v>
      </c>
      <c r="E6" s="20" t="s">
        <v>19</v>
      </c>
      <c r="F6" s="20" t="s">
        <v>20</v>
      </c>
      <c r="G6" s="20" t="s">
        <v>21</v>
      </c>
      <c r="H6" s="20" t="s">
        <v>22</v>
      </c>
      <c r="I6" s="20" t="s">
        <v>23</v>
      </c>
      <c r="J6" s="20" t="s">
        <v>24</v>
      </c>
      <c r="K6" s="20" t="s">
        <v>25</v>
      </c>
      <c r="L6" s="20" t="s">
        <v>26</v>
      </c>
      <c r="M6" s="20" t="s">
        <v>27</v>
      </c>
      <c r="O6" t="s">
        <v>33</v>
      </c>
      <c r="P6" t="s">
        <v>34</v>
      </c>
      <c r="Q6" t="s">
        <v>35</v>
      </c>
      <c r="R6" t="s">
        <v>36</v>
      </c>
      <c r="S6" t="s">
        <v>27</v>
      </c>
      <c r="T6" t="s">
        <v>26</v>
      </c>
      <c r="U6" t="s">
        <v>37</v>
      </c>
      <c r="V6" t="s">
        <v>38</v>
      </c>
      <c r="W6" t="s">
        <v>39</v>
      </c>
      <c r="X6" t="s">
        <v>40</v>
      </c>
    </row>
    <row r="7" spans="1:24" x14ac:dyDescent="0.45">
      <c r="A7" s="35">
        <v>43691</v>
      </c>
      <c r="B7" s="36" t="s">
        <v>5</v>
      </c>
      <c r="C7" s="37">
        <v>1</v>
      </c>
      <c r="D7" s="37" t="s">
        <v>31</v>
      </c>
      <c r="E7" s="37">
        <v>5</v>
      </c>
      <c r="F7" s="37"/>
      <c r="G7" s="37"/>
      <c r="H7" s="38">
        <v>0.40972222222222227</v>
      </c>
      <c r="I7" s="30">
        <v>43691.409722222219</v>
      </c>
      <c r="J7" s="38">
        <v>0.41666666666666669</v>
      </c>
      <c r="K7" s="37">
        <v>21000</v>
      </c>
      <c r="L7" s="37">
        <v>-0.3</v>
      </c>
      <c r="M7" s="37">
        <v>-60</v>
      </c>
      <c r="O7" s="49">
        <v>43691</v>
      </c>
      <c r="P7">
        <v>1</v>
      </c>
      <c r="Q7" s="50" t="s">
        <v>41</v>
      </c>
      <c r="R7" s="50" t="s">
        <v>42</v>
      </c>
      <c r="S7" s="51">
        <v>-66.9309207843</v>
      </c>
      <c r="T7" s="52">
        <v>-3.0773154517000001</v>
      </c>
      <c r="U7" s="53">
        <v>43691</v>
      </c>
      <c r="V7">
        <v>1</v>
      </c>
      <c r="W7">
        <v>-68.120807599999978</v>
      </c>
      <c r="X7">
        <v>0.42533830533393618</v>
      </c>
    </row>
    <row r="8" spans="1:24" x14ac:dyDescent="0.45">
      <c r="A8" s="35">
        <v>43691</v>
      </c>
      <c r="B8" s="36" t="s">
        <v>5</v>
      </c>
      <c r="C8" s="37">
        <v>1</v>
      </c>
      <c r="D8" s="37" t="s">
        <v>31</v>
      </c>
      <c r="E8" s="37">
        <v>10</v>
      </c>
      <c r="F8" s="37"/>
      <c r="G8" s="37"/>
      <c r="H8" s="38">
        <v>0.41736111111111113</v>
      </c>
      <c r="I8" s="30">
        <v>43691.417361111111</v>
      </c>
      <c r="J8" s="38">
        <v>0.42152777777777778</v>
      </c>
      <c r="K8" s="37">
        <v>24500</v>
      </c>
      <c r="L8" s="37">
        <v>-10.7</v>
      </c>
      <c r="M8" s="37">
        <v>-68</v>
      </c>
      <c r="O8" s="49">
        <v>43691</v>
      </c>
      <c r="P8">
        <v>2</v>
      </c>
      <c r="Q8" s="50" t="s">
        <v>41</v>
      </c>
      <c r="R8" s="50" t="s">
        <v>42</v>
      </c>
      <c r="S8" s="51">
        <v>-62.184912333900002</v>
      </c>
      <c r="T8" s="52">
        <v>-2.1448406489999998</v>
      </c>
      <c r="U8" s="53">
        <v>43691</v>
      </c>
      <c r="V8">
        <v>2</v>
      </c>
      <c r="W8">
        <v>-64.229687649999988</v>
      </c>
      <c r="X8">
        <v>0.52816358142305264</v>
      </c>
    </row>
    <row r="9" spans="1:24" x14ac:dyDescent="0.45">
      <c r="A9" s="35">
        <v>43691</v>
      </c>
      <c r="B9" s="36" t="s">
        <v>5</v>
      </c>
      <c r="C9" s="37">
        <v>1</v>
      </c>
      <c r="D9" s="37" t="s">
        <v>31</v>
      </c>
      <c r="E9" s="37">
        <v>15</v>
      </c>
      <c r="F9" s="37"/>
      <c r="G9" s="37"/>
      <c r="H9" s="38">
        <v>0.43611111111111112</v>
      </c>
      <c r="I9" s="30">
        <v>43691.436111111114</v>
      </c>
      <c r="J9" s="38">
        <v>0.44097222222222227</v>
      </c>
      <c r="K9" s="37">
        <v>18000</v>
      </c>
      <c r="L9" s="37">
        <v>-19</v>
      </c>
      <c r="M9" s="37">
        <v>-158</v>
      </c>
      <c r="O9" s="49">
        <v>43691</v>
      </c>
      <c r="P9">
        <v>3</v>
      </c>
      <c r="Q9" s="50" t="s">
        <v>41</v>
      </c>
      <c r="R9" s="50" t="s">
        <v>42</v>
      </c>
      <c r="S9" s="51">
        <v>-67.938767334900007</v>
      </c>
      <c r="T9" s="52">
        <v>-3.3328541904</v>
      </c>
      <c r="U9" s="53">
        <v>43691</v>
      </c>
      <c r="V9">
        <v>3</v>
      </c>
      <c r="W9">
        <v>-70.706849950000006</v>
      </c>
      <c r="X9">
        <v>0.52641179508333857</v>
      </c>
    </row>
    <row r="10" spans="1:24" x14ac:dyDescent="0.45">
      <c r="A10" s="35">
        <v>43691</v>
      </c>
      <c r="B10" s="36" t="s">
        <v>5</v>
      </c>
      <c r="C10" s="37">
        <v>1</v>
      </c>
      <c r="D10" s="37" t="s">
        <v>31</v>
      </c>
      <c r="E10" s="37">
        <v>25</v>
      </c>
      <c r="F10" s="37"/>
      <c r="G10" s="37"/>
      <c r="H10" s="38">
        <v>0.44791666666666669</v>
      </c>
      <c r="I10" s="30">
        <v>43691.447916666664</v>
      </c>
      <c r="J10" s="38">
        <v>0.45208333333333334</v>
      </c>
      <c r="K10" s="37">
        <v>17300</v>
      </c>
      <c r="L10" s="37">
        <v>-19</v>
      </c>
      <c r="M10" s="37">
        <v>-155</v>
      </c>
      <c r="O10" s="49">
        <v>43691</v>
      </c>
      <c r="P10">
        <v>4</v>
      </c>
      <c r="Q10" s="50" t="s">
        <v>41</v>
      </c>
      <c r="R10" s="50" t="s">
        <v>42</v>
      </c>
      <c r="S10" s="51">
        <v>-71.422209597299997</v>
      </c>
      <c r="T10" s="52">
        <v>-3.3807833554000002</v>
      </c>
      <c r="U10" s="53">
        <v>43691</v>
      </c>
      <c r="V10">
        <v>4</v>
      </c>
      <c r="W10">
        <v>-71.023957150000001</v>
      </c>
      <c r="X10">
        <v>5.6933056040618372E-2</v>
      </c>
    </row>
    <row r="11" spans="1:24" x14ac:dyDescent="0.45">
      <c r="A11" s="31">
        <v>43691</v>
      </c>
      <c r="B11" s="32" t="s">
        <v>5</v>
      </c>
      <c r="C11" s="33">
        <v>1</v>
      </c>
      <c r="D11" s="33" t="s">
        <v>31</v>
      </c>
      <c r="E11" s="33">
        <v>40</v>
      </c>
      <c r="F11" s="33"/>
      <c r="G11" s="33"/>
      <c r="H11" s="34">
        <v>0.46180555555555558</v>
      </c>
      <c r="I11" s="24">
        <v>43691.461805555555</v>
      </c>
      <c r="J11" s="34">
        <v>0.46597222222222223</v>
      </c>
      <c r="K11" s="33">
        <v>18000</v>
      </c>
      <c r="L11" s="33">
        <v>-23</v>
      </c>
      <c r="M11" s="33">
        <v>-173</v>
      </c>
      <c r="O11" s="49">
        <v>43691</v>
      </c>
      <c r="P11">
        <v>6</v>
      </c>
      <c r="Q11" s="50" t="s">
        <v>41</v>
      </c>
      <c r="R11" s="50" t="s">
        <v>42</v>
      </c>
      <c r="S11" s="51">
        <v>-60.6508540616</v>
      </c>
      <c r="T11" s="52">
        <v>-2.7600722708999998</v>
      </c>
      <c r="U11" s="53">
        <v>43691</v>
      </c>
      <c r="V11">
        <v>6</v>
      </c>
      <c r="W11">
        <v>-62.764924899999997</v>
      </c>
      <c r="X11">
        <v>0.43444301224847809</v>
      </c>
    </row>
    <row r="12" spans="1:24" x14ac:dyDescent="0.45">
      <c r="A12" s="31">
        <v>43691</v>
      </c>
      <c r="B12" s="32" t="s">
        <v>5</v>
      </c>
      <c r="C12" s="33">
        <v>1</v>
      </c>
      <c r="D12" s="33" t="s">
        <v>31</v>
      </c>
      <c r="E12" s="33">
        <v>60</v>
      </c>
      <c r="F12" s="33"/>
      <c r="G12" s="33"/>
      <c r="H12" s="34">
        <v>0.47222222222222227</v>
      </c>
      <c r="I12" s="24">
        <v>43691.472222222219</v>
      </c>
      <c r="J12" s="34">
        <v>0.47638888888888892</v>
      </c>
      <c r="K12" s="33"/>
      <c r="L12" s="33"/>
      <c r="M12" s="33"/>
      <c r="O12" s="49">
        <v>43691</v>
      </c>
      <c r="P12">
        <v>8</v>
      </c>
      <c r="Q12" s="50" t="s">
        <v>41</v>
      </c>
      <c r="R12" s="50" t="s">
        <v>42</v>
      </c>
      <c r="S12" s="51">
        <v>-75.774874759699998</v>
      </c>
      <c r="T12" s="52">
        <v>-3.3141244419000002</v>
      </c>
      <c r="U12" s="53">
        <v>43691</v>
      </c>
      <c r="V12">
        <v>8</v>
      </c>
      <c r="W12">
        <v>-77.380965549999985</v>
      </c>
      <c r="X12">
        <v>1.3164674342932399</v>
      </c>
    </row>
    <row r="13" spans="1:24" x14ac:dyDescent="0.45">
      <c r="A13" s="31">
        <v>43691</v>
      </c>
      <c r="B13" s="32" t="s">
        <v>5</v>
      </c>
      <c r="C13" s="33">
        <v>1</v>
      </c>
      <c r="D13" s="33" t="s">
        <v>31</v>
      </c>
      <c r="E13" s="33">
        <v>100</v>
      </c>
      <c r="F13" s="33"/>
      <c r="G13" s="33"/>
      <c r="H13" s="34">
        <v>0.47638888888888892</v>
      </c>
      <c r="I13" s="24">
        <v>43691.476388888892</v>
      </c>
      <c r="J13" s="34">
        <v>0.48402777777777778</v>
      </c>
      <c r="K13" s="33">
        <v>19800</v>
      </c>
      <c r="L13" s="33">
        <v>-18</v>
      </c>
      <c r="M13" s="33">
        <v>-150</v>
      </c>
    </row>
    <row r="14" spans="1:24" x14ac:dyDescent="0.45">
      <c r="A14" s="35">
        <v>43691</v>
      </c>
      <c r="B14" s="36" t="s">
        <v>5</v>
      </c>
      <c r="C14" s="37">
        <v>2</v>
      </c>
      <c r="D14" s="37" t="s">
        <v>28</v>
      </c>
      <c r="E14" s="37">
        <v>5</v>
      </c>
      <c r="F14" s="37"/>
      <c r="G14" s="37"/>
      <c r="H14" s="38">
        <v>0.4916666666666667</v>
      </c>
      <c r="I14" s="30">
        <v>43691.491666666669</v>
      </c>
      <c r="J14" s="38">
        <v>0.49583333333333335</v>
      </c>
      <c r="K14" s="37">
        <v>21400</v>
      </c>
      <c r="L14" s="37">
        <v>-5.5</v>
      </c>
      <c r="M14" s="37">
        <v>-90</v>
      </c>
    </row>
    <row r="15" spans="1:24" x14ac:dyDescent="0.45">
      <c r="A15" s="35">
        <v>43691</v>
      </c>
      <c r="B15" s="36" t="s">
        <v>5</v>
      </c>
      <c r="C15" s="37">
        <v>2</v>
      </c>
      <c r="D15" s="37" t="s">
        <v>28</v>
      </c>
      <c r="E15" s="37">
        <v>10</v>
      </c>
      <c r="F15" s="37"/>
      <c r="G15" s="37"/>
      <c r="H15" s="38">
        <v>0.49722222222222223</v>
      </c>
      <c r="I15" s="30">
        <v>43691.49722222222</v>
      </c>
      <c r="J15" s="37"/>
      <c r="K15" s="37">
        <v>20300</v>
      </c>
      <c r="L15" s="37">
        <v>-13</v>
      </c>
      <c r="M15" s="37">
        <v>-115</v>
      </c>
    </row>
    <row r="16" spans="1:24" x14ac:dyDescent="0.45">
      <c r="A16" s="35">
        <v>43691</v>
      </c>
      <c r="B16" s="36" t="s">
        <v>5</v>
      </c>
      <c r="C16" s="37">
        <v>2</v>
      </c>
      <c r="D16" s="37" t="s">
        <v>28</v>
      </c>
      <c r="E16" s="37">
        <v>15</v>
      </c>
      <c r="F16" s="37"/>
      <c r="G16" s="37"/>
      <c r="H16" s="38">
        <v>0.50902777777777775</v>
      </c>
      <c r="I16" s="30">
        <v>43691.509027777778</v>
      </c>
      <c r="J16" s="37"/>
      <c r="K16" s="37">
        <v>20800</v>
      </c>
      <c r="L16" s="37">
        <v>-13.5</v>
      </c>
      <c r="M16" s="37">
        <v>-130</v>
      </c>
    </row>
    <row r="17" spans="1:13" x14ac:dyDescent="0.45">
      <c r="A17" s="35">
        <v>43691</v>
      </c>
      <c r="B17" s="36" t="s">
        <v>5</v>
      </c>
      <c r="C17" s="37">
        <v>2</v>
      </c>
      <c r="D17" s="37" t="s">
        <v>28</v>
      </c>
      <c r="E17" s="37">
        <v>25</v>
      </c>
      <c r="F17" s="37"/>
      <c r="G17" s="37"/>
      <c r="H17" s="38">
        <v>0.51458333333333328</v>
      </c>
      <c r="I17" s="30">
        <v>43691.51458333333</v>
      </c>
      <c r="J17" s="37"/>
      <c r="K17" s="37">
        <v>18200</v>
      </c>
      <c r="L17" s="37">
        <v>-18</v>
      </c>
      <c r="M17" s="37">
        <v>-160</v>
      </c>
    </row>
    <row r="18" spans="1:13" x14ac:dyDescent="0.45">
      <c r="A18" s="31">
        <v>43691</v>
      </c>
      <c r="B18" s="32" t="s">
        <v>5</v>
      </c>
      <c r="C18" s="33">
        <v>2</v>
      </c>
      <c r="D18" s="33" t="s">
        <v>28</v>
      </c>
      <c r="E18" s="33">
        <v>40</v>
      </c>
      <c r="F18" s="33"/>
      <c r="G18" s="33"/>
      <c r="H18" s="34">
        <v>0.52430555555555558</v>
      </c>
      <c r="I18" s="24">
        <v>43691.524305555555</v>
      </c>
      <c r="J18" s="33"/>
      <c r="K18" s="33"/>
      <c r="L18" s="33">
        <v>-21</v>
      </c>
      <c r="M18" s="33">
        <v>-170</v>
      </c>
    </row>
    <row r="19" spans="1:13" x14ac:dyDescent="0.45">
      <c r="A19" s="31">
        <v>43691</v>
      </c>
      <c r="B19" s="32" t="s">
        <v>5</v>
      </c>
      <c r="C19" s="33">
        <v>2</v>
      </c>
      <c r="D19" s="33" t="s">
        <v>28</v>
      </c>
      <c r="E19" s="33">
        <v>60</v>
      </c>
      <c r="F19" s="33"/>
      <c r="G19" s="33"/>
      <c r="H19" s="34">
        <v>0.52986111111111112</v>
      </c>
      <c r="I19" s="24">
        <v>43691.529861111114</v>
      </c>
      <c r="J19" s="33"/>
      <c r="K19" s="33">
        <v>18300</v>
      </c>
      <c r="L19" s="33">
        <v>-19</v>
      </c>
      <c r="M19" s="33">
        <v>-160</v>
      </c>
    </row>
    <row r="20" spans="1:13" x14ac:dyDescent="0.45">
      <c r="A20" s="31">
        <v>43691</v>
      </c>
      <c r="B20" s="32" t="s">
        <v>5</v>
      </c>
      <c r="C20" s="33">
        <v>2</v>
      </c>
      <c r="D20" s="33" t="s">
        <v>28</v>
      </c>
      <c r="E20" s="33">
        <v>100</v>
      </c>
      <c r="F20" s="33"/>
      <c r="G20" s="33"/>
      <c r="H20" s="34">
        <v>0.53472222222222221</v>
      </c>
      <c r="I20" s="24">
        <v>43691.534722222219</v>
      </c>
      <c r="J20" s="33"/>
      <c r="K20" s="33"/>
      <c r="L20" s="33">
        <v>-21</v>
      </c>
      <c r="M20" s="33">
        <v>-155</v>
      </c>
    </row>
    <row r="21" spans="1:13" x14ac:dyDescent="0.45">
      <c r="A21" s="35">
        <v>43691</v>
      </c>
      <c r="B21" s="36" t="s">
        <v>5</v>
      </c>
      <c r="C21" s="37">
        <v>3</v>
      </c>
      <c r="D21" s="37" t="s">
        <v>30</v>
      </c>
      <c r="E21" s="37">
        <v>5</v>
      </c>
      <c r="F21" s="37"/>
      <c r="G21" s="37"/>
      <c r="H21" s="38">
        <v>0.54861111111111105</v>
      </c>
      <c r="I21" s="30">
        <v>43691.548611111109</v>
      </c>
      <c r="J21" s="37"/>
      <c r="K21" s="37">
        <v>24000</v>
      </c>
      <c r="L21" s="37">
        <v>-9</v>
      </c>
      <c r="M21" s="37">
        <v>-105</v>
      </c>
    </row>
    <row r="22" spans="1:13" x14ac:dyDescent="0.45">
      <c r="A22" s="35">
        <v>43691</v>
      </c>
      <c r="B22" s="36" t="s">
        <v>5</v>
      </c>
      <c r="C22" s="37">
        <v>3</v>
      </c>
      <c r="D22" s="37" t="s">
        <v>30</v>
      </c>
      <c r="E22" s="37">
        <v>10</v>
      </c>
      <c r="F22" s="37"/>
      <c r="G22" s="37"/>
      <c r="H22" s="38">
        <v>0.5541666666666667</v>
      </c>
      <c r="I22" s="30">
        <v>43691.554166666669</v>
      </c>
      <c r="J22" s="37"/>
      <c r="K22" s="37">
        <v>23200</v>
      </c>
      <c r="L22" s="37">
        <v>-12.5</v>
      </c>
      <c r="M22" s="37">
        <v>-118</v>
      </c>
    </row>
    <row r="23" spans="1:13" x14ac:dyDescent="0.45">
      <c r="A23" s="35">
        <v>43691</v>
      </c>
      <c r="B23" s="36" t="s">
        <v>5</v>
      </c>
      <c r="C23" s="37">
        <v>3</v>
      </c>
      <c r="D23" s="37" t="s">
        <v>30</v>
      </c>
      <c r="E23" s="37">
        <v>15</v>
      </c>
      <c r="F23" s="37"/>
      <c r="G23" s="37"/>
      <c r="H23" s="38">
        <v>0.55694444444444446</v>
      </c>
      <c r="I23" s="30">
        <v>43691.556944444441</v>
      </c>
      <c r="J23" s="37"/>
      <c r="K23" s="37">
        <v>22300</v>
      </c>
      <c r="L23" s="37">
        <v>-14</v>
      </c>
      <c r="M23" s="37">
        <v>-135</v>
      </c>
    </row>
    <row r="24" spans="1:13" x14ac:dyDescent="0.45">
      <c r="A24" s="35">
        <v>43691</v>
      </c>
      <c r="B24" s="36" t="s">
        <v>5</v>
      </c>
      <c r="C24" s="37">
        <v>3</v>
      </c>
      <c r="D24" s="37" t="s">
        <v>30</v>
      </c>
      <c r="E24" s="37">
        <v>25</v>
      </c>
      <c r="F24" s="37"/>
      <c r="G24" s="37"/>
      <c r="H24" s="38">
        <v>0.56111111111111112</v>
      </c>
      <c r="I24" s="30">
        <v>43691.561111111114</v>
      </c>
      <c r="J24" s="37"/>
      <c r="K24" s="37"/>
      <c r="L24" s="37">
        <v>-22</v>
      </c>
      <c r="M24" s="37">
        <v>-170</v>
      </c>
    </row>
    <row r="25" spans="1:13" x14ac:dyDescent="0.45">
      <c r="A25" s="31">
        <v>43691</v>
      </c>
      <c r="B25" s="32" t="s">
        <v>5</v>
      </c>
      <c r="C25" s="33">
        <v>3</v>
      </c>
      <c r="D25" s="33" t="s">
        <v>30</v>
      </c>
      <c r="E25" s="33">
        <v>40</v>
      </c>
      <c r="F25" s="33"/>
      <c r="G25" s="33"/>
      <c r="H25" s="34">
        <v>0.56388888888888888</v>
      </c>
      <c r="I25" s="24">
        <v>43691.563888888886</v>
      </c>
      <c r="J25" s="33"/>
      <c r="K25" s="33"/>
      <c r="L25" s="33">
        <v>-23</v>
      </c>
      <c r="M25" s="33">
        <v>-180</v>
      </c>
    </row>
    <row r="26" spans="1:13" x14ac:dyDescent="0.45">
      <c r="A26" s="31">
        <v>43691</v>
      </c>
      <c r="B26" s="32" t="s">
        <v>5</v>
      </c>
      <c r="C26" s="33">
        <v>3</v>
      </c>
      <c r="D26" s="33" t="s">
        <v>30</v>
      </c>
      <c r="E26" s="33">
        <v>60</v>
      </c>
      <c r="F26" s="33"/>
      <c r="G26" s="33"/>
      <c r="H26" s="34">
        <v>0.56944444444444442</v>
      </c>
      <c r="I26" s="24">
        <v>43691.569444444445</v>
      </c>
      <c r="J26" s="33"/>
      <c r="K26" s="33">
        <v>22900</v>
      </c>
      <c r="L26" s="33">
        <v>-22</v>
      </c>
      <c r="M26" s="33">
        <v>-175</v>
      </c>
    </row>
    <row r="27" spans="1:13" x14ac:dyDescent="0.45">
      <c r="A27" s="31">
        <v>43691</v>
      </c>
      <c r="B27" s="32" t="s">
        <v>5</v>
      </c>
      <c r="C27" s="33">
        <v>3</v>
      </c>
      <c r="D27" s="33" t="s">
        <v>30</v>
      </c>
      <c r="E27" s="33">
        <v>100</v>
      </c>
      <c r="F27" s="33"/>
      <c r="G27" s="33"/>
      <c r="H27" s="34">
        <v>0.57361111111111118</v>
      </c>
      <c r="I27" s="24">
        <v>43691.573611111111</v>
      </c>
      <c r="J27" s="33"/>
      <c r="K27" s="33">
        <v>20200</v>
      </c>
      <c r="L27" s="33">
        <v>-22</v>
      </c>
      <c r="M27" s="33">
        <v>-168</v>
      </c>
    </row>
    <row r="29" spans="1:13" x14ac:dyDescent="0.45">
      <c r="A29" s="19" t="s">
        <v>15</v>
      </c>
      <c r="B29" s="20" t="s">
        <v>16</v>
      </c>
      <c r="C29" s="20" t="s">
        <v>17</v>
      </c>
      <c r="D29" s="20" t="s">
        <v>18</v>
      </c>
      <c r="E29" s="20" t="s">
        <v>19</v>
      </c>
      <c r="F29" s="20" t="s">
        <v>20</v>
      </c>
      <c r="G29" s="20" t="s">
        <v>21</v>
      </c>
      <c r="H29" s="20" t="s">
        <v>22</v>
      </c>
      <c r="I29" s="20" t="s">
        <v>23</v>
      </c>
      <c r="J29" s="20" t="s">
        <v>24</v>
      </c>
      <c r="K29" s="20" t="s">
        <v>25</v>
      </c>
      <c r="L29" s="20" t="s">
        <v>26</v>
      </c>
      <c r="M29" s="20" t="s">
        <v>27</v>
      </c>
    </row>
    <row r="30" spans="1:13" x14ac:dyDescent="0.45">
      <c r="A30" s="35">
        <v>43691</v>
      </c>
      <c r="B30" s="36" t="s">
        <v>5</v>
      </c>
      <c r="C30" s="37">
        <v>1</v>
      </c>
      <c r="D30" s="37" t="s">
        <v>31</v>
      </c>
      <c r="E30" s="37">
        <v>5</v>
      </c>
      <c r="F30" s="37"/>
      <c r="G30" s="37"/>
      <c r="H30" s="38">
        <v>0.40972222222222227</v>
      </c>
      <c r="I30" s="30">
        <v>43691.409722222219</v>
      </c>
      <c r="J30" s="38">
        <v>0.41666666666666669</v>
      </c>
      <c r="K30" s="37">
        <v>21000</v>
      </c>
      <c r="L30" s="37">
        <v>-0.3</v>
      </c>
      <c r="M30" s="37">
        <v>-60</v>
      </c>
    </row>
    <row r="31" spans="1:13" x14ac:dyDescent="0.45">
      <c r="A31" s="35">
        <v>43691</v>
      </c>
      <c r="B31" s="36" t="s">
        <v>5</v>
      </c>
      <c r="C31" s="37">
        <v>1</v>
      </c>
      <c r="D31" s="37" t="s">
        <v>31</v>
      </c>
      <c r="E31" s="37">
        <v>10</v>
      </c>
      <c r="F31" s="37"/>
      <c r="G31" s="37"/>
      <c r="H31" s="38">
        <v>0.41736111111111113</v>
      </c>
      <c r="I31" s="30">
        <v>43691.417361111111</v>
      </c>
      <c r="J31" s="38">
        <v>0.42152777777777778</v>
      </c>
      <c r="K31" s="37">
        <v>24500</v>
      </c>
      <c r="L31" s="37">
        <v>-10.7</v>
      </c>
      <c r="M31" s="37">
        <v>-68</v>
      </c>
    </row>
    <row r="32" spans="1:13" x14ac:dyDescent="0.45">
      <c r="A32" s="35">
        <v>43691</v>
      </c>
      <c r="B32" s="36" t="s">
        <v>5</v>
      </c>
      <c r="C32" s="37">
        <v>1</v>
      </c>
      <c r="D32" s="37" t="s">
        <v>31</v>
      </c>
      <c r="E32" s="37">
        <v>15</v>
      </c>
      <c r="F32" s="37"/>
      <c r="G32" s="37"/>
      <c r="H32" s="38">
        <v>0.43611111111111112</v>
      </c>
      <c r="I32" s="30">
        <v>43691.436111111114</v>
      </c>
      <c r="J32" s="38">
        <v>0.44097222222222227</v>
      </c>
      <c r="K32" s="37">
        <v>18000</v>
      </c>
      <c r="L32" s="37">
        <v>-19</v>
      </c>
      <c r="M32" s="37">
        <v>-158</v>
      </c>
    </row>
    <row r="33" spans="1:13" x14ac:dyDescent="0.45">
      <c r="A33" s="35">
        <v>43691</v>
      </c>
      <c r="B33" s="36" t="s">
        <v>5</v>
      </c>
      <c r="C33" s="37">
        <v>1</v>
      </c>
      <c r="D33" s="37" t="s">
        <v>31</v>
      </c>
      <c r="E33" s="37">
        <v>25</v>
      </c>
      <c r="F33" s="37"/>
      <c r="G33" s="37"/>
      <c r="H33" s="38">
        <v>0.44791666666666669</v>
      </c>
      <c r="I33" s="30">
        <v>43691.447916666664</v>
      </c>
      <c r="J33" s="38">
        <v>0.45208333333333334</v>
      </c>
      <c r="K33" s="37">
        <v>17300</v>
      </c>
      <c r="L33" s="37">
        <v>-19</v>
      </c>
      <c r="M33" s="37">
        <v>-155</v>
      </c>
    </row>
    <row r="34" spans="1:13" x14ac:dyDescent="0.45">
      <c r="A34" s="35">
        <v>43691</v>
      </c>
      <c r="B34" s="36" t="s">
        <v>5</v>
      </c>
      <c r="C34" s="37">
        <v>2</v>
      </c>
      <c r="D34" s="37" t="s">
        <v>28</v>
      </c>
      <c r="E34" s="37">
        <v>5</v>
      </c>
      <c r="F34" s="37"/>
      <c r="G34" s="37"/>
      <c r="H34" s="38">
        <v>0.4916666666666667</v>
      </c>
      <c r="I34" s="30">
        <v>43691.491666666669</v>
      </c>
      <c r="J34" s="38">
        <v>0.49583333333333335</v>
      </c>
      <c r="K34" s="37">
        <v>21400</v>
      </c>
      <c r="L34" s="37">
        <v>-5.5</v>
      </c>
      <c r="M34" s="37">
        <v>-90</v>
      </c>
    </row>
    <row r="35" spans="1:13" x14ac:dyDescent="0.45">
      <c r="A35" s="35">
        <v>43691</v>
      </c>
      <c r="B35" s="36" t="s">
        <v>5</v>
      </c>
      <c r="C35" s="37">
        <v>2</v>
      </c>
      <c r="D35" s="37" t="s">
        <v>28</v>
      </c>
      <c r="E35" s="37">
        <v>10</v>
      </c>
      <c r="F35" s="37"/>
      <c r="G35" s="37"/>
      <c r="H35" s="38">
        <v>0.49722222222222223</v>
      </c>
      <c r="I35" s="30">
        <v>43691.49722222222</v>
      </c>
      <c r="J35" s="37"/>
      <c r="K35" s="37">
        <v>20300</v>
      </c>
      <c r="L35" s="37">
        <v>-13</v>
      </c>
      <c r="M35" s="37">
        <v>-115</v>
      </c>
    </row>
    <row r="36" spans="1:13" x14ac:dyDescent="0.45">
      <c r="A36" s="35">
        <v>43691</v>
      </c>
      <c r="B36" s="36" t="s">
        <v>5</v>
      </c>
      <c r="C36" s="37">
        <v>2</v>
      </c>
      <c r="D36" s="37" t="s">
        <v>28</v>
      </c>
      <c r="E36" s="37">
        <v>15</v>
      </c>
      <c r="F36" s="37"/>
      <c r="G36" s="37"/>
      <c r="H36" s="38">
        <v>0.50902777777777775</v>
      </c>
      <c r="I36" s="30">
        <v>43691.509027777778</v>
      </c>
      <c r="J36" s="37"/>
      <c r="K36" s="37">
        <v>20800</v>
      </c>
      <c r="L36" s="37">
        <v>-13.5</v>
      </c>
      <c r="M36" s="37">
        <v>-130</v>
      </c>
    </row>
    <row r="37" spans="1:13" x14ac:dyDescent="0.45">
      <c r="A37" s="35">
        <v>43691</v>
      </c>
      <c r="B37" s="36" t="s">
        <v>5</v>
      </c>
      <c r="C37" s="37">
        <v>2</v>
      </c>
      <c r="D37" s="37" t="s">
        <v>28</v>
      </c>
      <c r="E37" s="37">
        <v>25</v>
      </c>
      <c r="F37" s="37"/>
      <c r="G37" s="37"/>
      <c r="H37" s="38">
        <v>0.51458333333333328</v>
      </c>
      <c r="I37" s="30">
        <v>43691.51458333333</v>
      </c>
      <c r="J37" s="37"/>
      <c r="K37" s="37">
        <v>18200</v>
      </c>
      <c r="L37" s="37">
        <v>-18</v>
      </c>
      <c r="M37" s="37">
        <v>-160</v>
      </c>
    </row>
    <row r="38" spans="1:13" x14ac:dyDescent="0.45">
      <c r="A38" s="35">
        <v>43691</v>
      </c>
      <c r="B38" s="36" t="s">
        <v>5</v>
      </c>
      <c r="C38" s="37">
        <v>3</v>
      </c>
      <c r="D38" s="37" t="s">
        <v>30</v>
      </c>
      <c r="E38" s="37">
        <v>5</v>
      </c>
      <c r="F38" s="37"/>
      <c r="G38" s="37"/>
      <c r="H38" s="38">
        <v>0.54861111111111105</v>
      </c>
      <c r="I38" s="30">
        <v>43691.548611111109</v>
      </c>
      <c r="J38" s="37"/>
      <c r="K38" s="37">
        <v>24000</v>
      </c>
      <c r="L38" s="37">
        <v>-9</v>
      </c>
      <c r="M38" s="37">
        <v>-105</v>
      </c>
    </row>
    <row r="39" spans="1:13" x14ac:dyDescent="0.45">
      <c r="A39" s="35">
        <v>43691</v>
      </c>
      <c r="B39" s="36" t="s">
        <v>5</v>
      </c>
      <c r="C39" s="37">
        <v>3</v>
      </c>
      <c r="D39" s="37" t="s">
        <v>30</v>
      </c>
      <c r="E39" s="37">
        <v>10</v>
      </c>
      <c r="F39" s="37"/>
      <c r="G39" s="37"/>
      <c r="H39" s="38">
        <v>0.5541666666666667</v>
      </c>
      <c r="I39" s="30">
        <v>43691.554166666669</v>
      </c>
      <c r="J39" s="37"/>
      <c r="K39" s="37">
        <v>23200</v>
      </c>
      <c r="L39" s="37">
        <v>-12.5</v>
      </c>
      <c r="M39" s="37">
        <v>-118</v>
      </c>
    </row>
    <row r="40" spans="1:13" x14ac:dyDescent="0.45">
      <c r="A40" s="35">
        <v>43691</v>
      </c>
      <c r="B40" s="36" t="s">
        <v>5</v>
      </c>
      <c r="C40" s="37">
        <v>3</v>
      </c>
      <c r="D40" s="37" t="s">
        <v>30</v>
      </c>
      <c r="E40" s="37">
        <v>15</v>
      </c>
      <c r="F40" s="37"/>
      <c r="G40" s="37"/>
      <c r="H40" s="38">
        <v>0.55694444444444446</v>
      </c>
      <c r="I40" s="30">
        <v>43691.556944444441</v>
      </c>
      <c r="J40" s="37"/>
      <c r="K40" s="37">
        <v>22300</v>
      </c>
      <c r="L40" s="37">
        <v>-14</v>
      </c>
      <c r="M40" s="37">
        <v>-135</v>
      </c>
    </row>
    <row r="41" spans="1:13" x14ac:dyDescent="0.45">
      <c r="A41" s="35">
        <v>43691</v>
      </c>
      <c r="B41" s="36" t="s">
        <v>5</v>
      </c>
      <c r="C41" s="37">
        <v>3</v>
      </c>
      <c r="D41" s="37" t="s">
        <v>30</v>
      </c>
      <c r="E41" s="37">
        <v>25</v>
      </c>
      <c r="F41" s="37"/>
      <c r="G41" s="37"/>
      <c r="H41" s="38">
        <v>0.56111111111111112</v>
      </c>
      <c r="I41" s="30">
        <v>43691.561111111114</v>
      </c>
      <c r="J41" s="37"/>
      <c r="K41" s="37"/>
      <c r="L41" s="37">
        <v>-22</v>
      </c>
      <c r="M41" s="37">
        <v>-170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8D72-2AE8-4B4C-ACA9-39F5408F6F4D}">
  <dimension ref="A1:X42"/>
  <sheetViews>
    <sheetView tabSelected="1" topLeftCell="C1" workbookViewId="0">
      <selection activeCell="P24" sqref="P24"/>
    </sheetView>
  </sheetViews>
  <sheetFormatPr defaultRowHeight="18.5" x14ac:dyDescent="0.45"/>
  <cols>
    <col min="1" max="1" width="9.42578125" bestFit="1" customWidth="1"/>
    <col min="2" max="2" width="5.92578125" bestFit="1" customWidth="1"/>
    <col min="3" max="3" width="6.92578125" bestFit="1" customWidth="1"/>
    <col min="4" max="4" width="18.5703125" bestFit="1" customWidth="1"/>
    <col min="5" max="5" width="10.92578125" bestFit="1" customWidth="1"/>
    <col min="6" max="6" width="8.5" bestFit="1" customWidth="1"/>
    <col min="7" max="7" width="15.7109375" bestFit="1" customWidth="1"/>
    <col min="8" max="8" width="6.7109375" bestFit="1" customWidth="1"/>
    <col min="9" max="9" width="11.78515625" bestFit="1" customWidth="1"/>
    <col min="10" max="10" width="6.28515625" bestFit="1" customWidth="1"/>
    <col min="11" max="11" width="8.42578125" bestFit="1" customWidth="1"/>
    <col min="12" max="12" width="4" bestFit="1" customWidth="1"/>
    <col min="13" max="13" width="3.28515625" bestFit="1" customWidth="1"/>
    <col min="15" max="15" width="9.0703125" bestFit="1" customWidth="1"/>
    <col min="16" max="16" width="6" bestFit="1" customWidth="1"/>
    <col min="17" max="17" width="4.92578125" bestFit="1" customWidth="1"/>
    <col min="18" max="18" width="11.92578125" bestFit="1" customWidth="1"/>
    <col min="19" max="19" width="6" bestFit="1" customWidth="1"/>
    <col min="20" max="20" width="5.2109375" bestFit="1" customWidth="1"/>
    <col min="21" max="21" width="9.0703125" bestFit="1" customWidth="1"/>
    <col min="22" max="22" width="6.5703125" bestFit="1" customWidth="1"/>
    <col min="23" max="23" width="12.5" bestFit="1" customWidth="1"/>
    <col min="24" max="24" width="11.92578125" bestFit="1" customWidth="1"/>
  </cols>
  <sheetData>
    <row r="1" spans="1:24" ht="19" thickBot="1" x14ac:dyDescent="0.5">
      <c r="A1" s="1" t="s">
        <v>0</v>
      </c>
      <c r="B1" s="1" t="s">
        <v>1</v>
      </c>
      <c r="C1" s="1" t="s">
        <v>2</v>
      </c>
      <c r="D1" s="1" t="s">
        <v>3</v>
      </c>
      <c r="F1" s="22"/>
      <c r="G1" s="101" t="s">
        <v>52</v>
      </c>
      <c r="H1" s="101" t="s">
        <v>53</v>
      </c>
      <c r="I1" s="101" t="s">
        <v>55</v>
      </c>
      <c r="J1" s="101" t="s">
        <v>54</v>
      </c>
      <c r="O1" s="22"/>
      <c r="P1" s="101" t="s">
        <v>52</v>
      </c>
      <c r="Q1" s="101" t="s">
        <v>53</v>
      </c>
      <c r="R1" s="101" t="s">
        <v>55</v>
      </c>
      <c r="S1" s="101" t="s">
        <v>54</v>
      </c>
    </row>
    <row r="2" spans="1:24" ht="19" thickTop="1" x14ac:dyDescent="0.45">
      <c r="A2" s="4" t="s">
        <v>8</v>
      </c>
      <c r="B2" s="4" t="s">
        <v>5</v>
      </c>
      <c r="C2" s="4">
        <v>15</v>
      </c>
      <c r="D2" s="5">
        <v>43707</v>
      </c>
      <c r="F2" s="101" t="s">
        <v>56</v>
      </c>
      <c r="G2" s="22">
        <f>AVERAGE($L$30:$L$42)</f>
        <v>-12.392307692307693</v>
      </c>
      <c r="H2" s="22">
        <f>_xlfn.STDEV.S($L$30:$L$42)</f>
        <v>8.0904739806002244</v>
      </c>
      <c r="I2" s="22">
        <f>H2/SQRT(J2)</f>
        <v>2.2438937522970277</v>
      </c>
      <c r="J2" s="22">
        <f>COUNT(L30:L42)</f>
        <v>13</v>
      </c>
      <c r="O2" s="101" t="s">
        <v>56</v>
      </c>
      <c r="P2" s="102">
        <f>AVERAGE(T7:T12)</f>
        <v>-8.4573002076999995</v>
      </c>
      <c r="Q2" s="102">
        <f>_xlfn.STDEV.S($T$7:T12)</f>
        <v>1.1050693282054938</v>
      </c>
      <c r="R2" s="22">
        <f>Q2/SQRT(S2)</f>
        <v>0.45114266408394244</v>
      </c>
      <c r="S2" s="102">
        <f>COUNT($T$7:T12)</f>
        <v>6</v>
      </c>
    </row>
    <row r="3" spans="1:24" x14ac:dyDescent="0.45">
      <c r="F3" s="101" t="s">
        <v>57</v>
      </c>
      <c r="G3" s="22">
        <f>AVERAGE($M$30:$M$42)</f>
        <v>-135.38461538461539</v>
      </c>
      <c r="H3" s="22">
        <f>_xlfn.STDEV.S($M$30:$M$42)</f>
        <v>31.774041977528523</v>
      </c>
      <c r="I3" s="22">
        <f>H3/SQRT(J3)</f>
        <v>8.8125336599018702</v>
      </c>
      <c r="J3" s="22">
        <f>COUNT(M30:M42)</f>
        <v>13</v>
      </c>
      <c r="O3" s="101" t="s">
        <v>57</v>
      </c>
      <c r="P3" s="102">
        <f>AVERAGE(S7:S12)</f>
        <v>-107.19568271275</v>
      </c>
      <c r="Q3" s="102">
        <f>_xlfn.STDEV.S($S$7:S12)</f>
        <v>4.0937720727059483</v>
      </c>
      <c r="R3" s="22">
        <f>Q3/SQRT(S3)</f>
        <v>1.6712754502309086</v>
      </c>
      <c r="S3" s="102">
        <f>COUNT($S$7:S12)</f>
        <v>6</v>
      </c>
    </row>
    <row r="6" spans="1:24" x14ac:dyDescent="0.45">
      <c r="A6" s="19" t="s">
        <v>15</v>
      </c>
      <c r="B6" s="20" t="s">
        <v>16</v>
      </c>
      <c r="C6" s="20" t="s">
        <v>17</v>
      </c>
      <c r="D6" s="20" t="s">
        <v>18</v>
      </c>
      <c r="E6" s="20" t="s">
        <v>19</v>
      </c>
      <c r="F6" s="20" t="s">
        <v>20</v>
      </c>
      <c r="G6" s="20" t="s">
        <v>21</v>
      </c>
      <c r="H6" s="20" t="s">
        <v>22</v>
      </c>
      <c r="I6" s="20" t="s">
        <v>23</v>
      </c>
      <c r="J6" s="20" t="s">
        <v>24</v>
      </c>
      <c r="K6" s="20" t="s">
        <v>25</v>
      </c>
      <c r="L6" s="20" t="s">
        <v>26</v>
      </c>
      <c r="M6" s="20" t="s">
        <v>27</v>
      </c>
      <c r="O6" t="s">
        <v>33</v>
      </c>
      <c r="P6" t="s">
        <v>34</v>
      </c>
      <c r="Q6" t="s">
        <v>35</v>
      </c>
      <c r="R6" t="s">
        <v>36</v>
      </c>
      <c r="S6" t="s">
        <v>27</v>
      </c>
      <c r="T6" t="s">
        <v>26</v>
      </c>
      <c r="U6" t="s">
        <v>37</v>
      </c>
      <c r="V6" t="s">
        <v>38</v>
      </c>
      <c r="W6" t="s">
        <v>39</v>
      </c>
      <c r="X6" t="s">
        <v>40</v>
      </c>
    </row>
    <row r="7" spans="1:24" x14ac:dyDescent="0.45">
      <c r="A7" s="25">
        <v>43707</v>
      </c>
      <c r="B7" s="26" t="s">
        <v>5</v>
      </c>
      <c r="C7" s="27">
        <v>1</v>
      </c>
      <c r="D7" s="27" t="s">
        <v>31</v>
      </c>
      <c r="E7" s="27">
        <v>5</v>
      </c>
      <c r="F7" s="27"/>
      <c r="G7" s="27"/>
      <c r="H7" s="29">
        <v>0.39583333333333331</v>
      </c>
      <c r="I7" s="30">
        <v>43707.395833333336</v>
      </c>
      <c r="J7" s="29">
        <v>0.40069444444444446</v>
      </c>
      <c r="K7" s="27">
        <v>13600</v>
      </c>
      <c r="L7" s="27">
        <v>-5.2</v>
      </c>
      <c r="M7" s="27">
        <v>-117</v>
      </c>
      <c r="O7" s="49">
        <v>43707</v>
      </c>
      <c r="P7">
        <v>1</v>
      </c>
      <c r="Q7" s="50" t="s">
        <v>41</v>
      </c>
      <c r="R7" s="50" t="s">
        <v>42</v>
      </c>
      <c r="S7" s="51">
        <v>-107.9957889323</v>
      </c>
      <c r="T7" s="52">
        <v>-8.1427866968</v>
      </c>
      <c r="U7" s="53">
        <v>43707</v>
      </c>
      <c r="V7">
        <v>1</v>
      </c>
      <c r="W7">
        <v>-105.27091539999998</v>
      </c>
      <c r="X7">
        <v>2.8028581435385683E-2</v>
      </c>
    </row>
    <row r="8" spans="1:24" x14ac:dyDescent="0.45">
      <c r="A8" s="25">
        <v>43707</v>
      </c>
      <c r="B8" s="26" t="s">
        <v>5</v>
      </c>
      <c r="C8" s="27">
        <v>1</v>
      </c>
      <c r="D8" s="27" t="s">
        <v>31</v>
      </c>
      <c r="E8" s="27">
        <v>10</v>
      </c>
      <c r="F8" s="28"/>
      <c r="G8" s="28"/>
      <c r="H8" s="29">
        <v>0.4055555555555555</v>
      </c>
      <c r="I8" s="30">
        <v>43707.405555555553</v>
      </c>
      <c r="J8" s="29">
        <v>0.41041666666666665</v>
      </c>
      <c r="K8" s="27">
        <v>22500</v>
      </c>
      <c r="L8" s="27">
        <v>-11.5</v>
      </c>
      <c r="M8" s="27">
        <v>-130</v>
      </c>
      <c r="O8" s="49">
        <v>43707</v>
      </c>
      <c r="P8">
        <v>2</v>
      </c>
      <c r="Q8" s="50" t="s">
        <v>41</v>
      </c>
      <c r="R8" s="50" t="s">
        <v>42</v>
      </c>
      <c r="S8" s="51">
        <v>-103.79497337710001</v>
      </c>
      <c r="T8" s="52">
        <v>-7.5274686803000002</v>
      </c>
      <c r="U8" s="53">
        <v>43707</v>
      </c>
      <c r="V8">
        <v>2</v>
      </c>
      <c r="W8">
        <v>-104.61935919999996</v>
      </c>
      <c r="X8">
        <v>1.2332575831569299</v>
      </c>
    </row>
    <row r="9" spans="1:24" x14ac:dyDescent="0.45">
      <c r="A9" s="25">
        <v>43707</v>
      </c>
      <c r="B9" s="26" t="s">
        <v>5</v>
      </c>
      <c r="C9" s="27">
        <v>1</v>
      </c>
      <c r="D9" s="27" t="s">
        <v>31</v>
      </c>
      <c r="E9" s="27">
        <v>15</v>
      </c>
      <c r="F9" s="28"/>
      <c r="G9" s="28"/>
      <c r="H9" s="29">
        <v>0.41111111111111115</v>
      </c>
      <c r="I9" s="30">
        <v>43707.411111111112</v>
      </c>
      <c r="J9" s="29">
        <v>0.4152777777777778</v>
      </c>
      <c r="K9" s="27">
        <v>23500</v>
      </c>
      <c r="L9" s="27">
        <v>-19</v>
      </c>
      <c r="M9" s="27">
        <v>-163</v>
      </c>
      <c r="O9" s="49">
        <v>43707</v>
      </c>
      <c r="P9">
        <v>3</v>
      </c>
      <c r="Q9" s="50" t="s">
        <v>41</v>
      </c>
      <c r="R9" s="50" t="s">
        <v>42</v>
      </c>
      <c r="S9" s="51">
        <v>-112.7184768899</v>
      </c>
      <c r="T9" s="52">
        <v>-10.323761299999999</v>
      </c>
      <c r="U9" s="53">
        <v>43707</v>
      </c>
      <c r="V9">
        <v>3</v>
      </c>
      <c r="W9">
        <v>-110.88284575</v>
      </c>
      <c r="X9">
        <v>1.8787908493406476</v>
      </c>
    </row>
    <row r="10" spans="1:24" x14ac:dyDescent="0.45">
      <c r="A10" s="25">
        <v>43707</v>
      </c>
      <c r="B10" s="26" t="s">
        <v>5</v>
      </c>
      <c r="C10" s="27">
        <v>1</v>
      </c>
      <c r="D10" s="27" t="s">
        <v>31</v>
      </c>
      <c r="E10" s="27">
        <v>25</v>
      </c>
      <c r="F10" s="28"/>
      <c r="G10" s="28"/>
      <c r="H10" s="29">
        <v>0.41736111111111113</v>
      </c>
      <c r="I10" s="30">
        <v>43707.417361111111</v>
      </c>
      <c r="J10" s="29">
        <v>0.42152777777777778</v>
      </c>
      <c r="K10" s="27">
        <v>22300</v>
      </c>
      <c r="L10" s="27">
        <v>-22.5</v>
      </c>
      <c r="M10" s="27">
        <v>-178</v>
      </c>
      <c r="O10" s="49">
        <v>43707</v>
      </c>
      <c r="P10">
        <v>5</v>
      </c>
      <c r="Q10" s="50" t="s">
        <v>41</v>
      </c>
      <c r="R10" s="50" t="s">
        <v>42</v>
      </c>
      <c r="S10" s="51">
        <v>-110.2274662712</v>
      </c>
      <c r="T10" s="52">
        <v>-9.2310636301999995</v>
      </c>
      <c r="U10" s="53">
        <v>43707</v>
      </c>
      <c r="V10">
        <v>5</v>
      </c>
      <c r="W10">
        <v>-108.70830789999999</v>
      </c>
      <c r="X10">
        <v>0.43269122590876397</v>
      </c>
    </row>
    <row r="11" spans="1:24" x14ac:dyDescent="0.45">
      <c r="A11" s="19">
        <v>43707</v>
      </c>
      <c r="B11" s="21" t="s">
        <v>5</v>
      </c>
      <c r="C11" s="20">
        <v>1</v>
      </c>
      <c r="D11" s="20" t="s">
        <v>31</v>
      </c>
      <c r="E11" s="20">
        <v>40</v>
      </c>
      <c r="F11" s="22"/>
      <c r="G11" s="22"/>
      <c r="H11" s="23">
        <v>0.42222222222222222</v>
      </c>
      <c r="I11" s="24">
        <v>43707.422222222223</v>
      </c>
      <c r="J11" s="23">
        <v>0.42638888888888887</v>
      </c>
      <c r="K11" s="20">
        <v>23000</v>
      </c>
      <c r="L11" s="20">
        <v>-25</v>
      </c>
      <c r="M11" s="20">
        <v>-186</v>
      </c>
      <c r="O11" s="49">
        <v>43707</v>
      </c>
      <c r="P11">
        <v>6</v>
      </c>
      <c r="Q11" s="50" t="s">
        <v>41</v>
      </c>
      <c r="R11" s="50" t="s">
        <v>42</v>
      </c>
      <c r="S11" s="51">
        <v>-101.5567430166</v>
      </c>
      <c r="T11" s="52">
        <v>-7.5522867104999998</v>
      </c>
      <c r="U11" s="53">
        <v>43707</v>
      </c>
      <c r="V11">
        <v>6</v>
      </c>
      <c r="W11">
        <v>-101.86758714999999</v>
      </c>
      <c r="X11">
        <v>0.40729032398291931</v>
      </c>
    </row>
    <row r="12" spans="1:24" x14ac:dyDescent="0.45">
      <c r="A12" s="19">
        <v>43707</v>
      </c>
      <c r="B12" s="21" t="s">
        <v>5</v>
      </c>
      <c r="C12" s="20">
        <v>1</v>
      </c>
      <c r="D12" s="20" t="s">
        <v>31</v>
      </c>
      <c r="E12" s="20">
        <v>60</v>
      </c>
      <c r="F12" s="22"/>
      <c r="G12" s="22"/>
      <c r="H12" s="23">
        <v>0.42708333333333331</v>
      </c>
      <c r="I12" s="24">
        <v>43707.427083333336</v>
      </c>
      <c r="J12" s="23">
        <v>0.43124999999999997</v>
      </c>
      <c r="K12" s="20">
        <v>23000</v>
      </c>
      <c r="L12" s="20">
        <v>-24</v>
      </c>
      <c r="M12" s="20">
        <v>-180</v>
      </c>
      <c r="O12" s="49">
        <v>43707</v>
      </c>
      <c r="P12">
        <v>7</v>
      </c>
      <c r="Q12" s="50" t="s">
        <v>41</v>
      </c>
      <c r="R12" s="50" t="s">
        <v>42</v>
      </c>
      <c r="S12" s="51">
        <v>-106.8806477894</v>
      </c>
      <c r="T12" s="52">
        <v>-7.9664342283999998</v>
      </c>
      <c r="U12" s="53">
        <v>43707</v>
      </c>
      <c r="V12">
        <v>7</v>
      </c>
      <c r="W12">
        <v>-106.48669945</v>
      </c>
      <c r="X12">
        <v>0.83297440453286697</v>
      </c>
    </row>
    <row r="13" spans="1:24" x14ac:dyDescent="0.45">
      <c r="A13" s="19">
        <v>43707</v>
      </c>
      <c r="B13" s="21" t="s">
        <v>5</v>
      </c>
      <c r="C13" s="20">
        <v>1</v>
      </c>
      <c r="D13" s="20" t="s">
        <v>31</v>
      </c>
      <c r="E13" s="20">
        <v>100</v>
      </c>
      <c r="F13" s="22"/>
      <c r="G13" s="22"/>
      <c r="H13" s="23">
        <v>0.43333333333333335</v>
      </c>
      <c r="I13" s="24">
        <v>43707.433333333334</v>
      </c>
      <c r="J13" s="23">
        <v>0.4381944444444445</v>
      </c>
      <c r="K13" s="20">
        <v>19600</v>
      </c>
      <c r="L13" s="20">
        <v>-22.5</v>
      </c>
      <c r="M13" s="20">
        <v>-168</v>
      </c>
    </row>
    <row r="14" spans="1:24" x14ac:dyDescent="0.45">
      <c r="A14" s="25">
        <v>43707</v>
      </c>
      <c r="B14" s="26" t="s">
        <v>5</v>
      </c>
      <c r="C14" s="27">
        <v>2</v>
      </c>
      <c r="D14" s="27" t="s">
        <v>28</v>
      </c>
      <c r="E14" s="27">
        <v>5</v>
      </c>
      <c r="F14" s="28"/>
      <c r="G14" s="28"/>
      <c r="H14" s="29">
        <v>0.44305555555555554</v>
      </c>
      <c r="I14" s="30">
        <v>43707.443055555559</v>
      </c>
      <c r="J14" s="29">
        <v>0.4465277777777778</v>
      </c>
      <c r="K14" s="27">
        <v>12000</v>
      </c>
      <c r="L14" s="27">
        <v>-5</v>
      </c>
      <c r="M14" s="27">
        <v>-106</v>
      </c>
    </row>
    <row r="15" spans="1:24" x14ac:dyDescent="0.45">
      <c r="A15" s="25">
        <v>43707</v>
      </c>
      <c r="B15" s="26" t="s">
        <v>5</v>
      </c>
      <c r="C15" s="27">
        <v>2</v>
      </c>
      <c r="D15" s="27" t="s">
        <v>28</v>
      </c>
      <c r="E15" s="27">
        <v>10</v>
      </c>
      <c r="F15" s="28"/>
      <c r="G15" s="28"/>
      <c r="H15" s="29">
        <v>0.44722222222222219</v>
      </c>
      <c r="I15" s="30">
        <v>43707.447222222225</v>
      </c>
      <c r="J15" s="28"/>
      <c r="K15" s="27">
        <v>22000</v>
      </c>
      <c r="L15" s="27">
        <v>-3</v>
      </c>
      <c r="M15" s="27">
        <v>-100</v>
      </c>
    </row>
    <row r="16" spans="1:24" x14ac:dyDescent="0.45">
      <c r="A16" s="25">
        <v>43707</v>
      </c>
      <c r="B16" s="26" t="s">
        <v>5</v>
      </c>
      <c r="C16" s="27">
        <v>2</v>
      </c>
      <c r="D16" s="27" t="s">
        <v>28</v>
      </c>
      <c r="E16" s="27">
        <v>15</v>
      </c>
      <c r="F16" s="28"/>
      <c r="G16" s="28"/>
      <c r="H16" s="29">
        <v>0.45208333333333334</v>
      </c>
      <c r="I16" s="30">
        <v>43707.45208333333</v>
      </c>
      <c r="J16" s="29">
        <v>0.45624999999999999</v>
      </c>
      <c r="K16" s="27">
        <v>21000</v>
      </c>
      <c r="L16" s="27">
        <v>-11</v>
      </c>
      <c r="M16" s="27">
        <v>-125</v>
      </c>
    </row>
    <row r="17" spans="1:13" x14ac:dyDescent="0.45">
      <c r="A17" s="25">
        <v>43707</v>
      </c>
      <c r="B17" s="26" t="s">
        <v>5</v>
      </c>
      <c r="C17" s="27">
        <v>2</v>
      </c>
      <c r="D17" s="27" t="s">
        <v>28</v>
      </c>
      <c r="E17" s="27">
        <v>25</v>
      </c>
      <c r="F17" s="28"/>
      <c r="G17" s="28"/>
      <c r="H17" s="29">
        <v>0.46736111111111112</v>
      </c>
      <c r="I17" s="30">
        <v>43707.467361111114</v>
      </c>
      <c r="J17" s="29">
        <v>0.47291666666666665</v>
      </c>
      <c r="K17" s="27">
        <v>18000</v>
      </c>
      <c r="L17" s="27">
        <v>-17</v>
      </c>
      <c r="M17" s="27">
        <v>-157</v>
      </c>
    </row>
    <row r="18" spans="1:13" x14ac:dyDescent="0.45">
      <c r="A18" s="19">
        <v>43707</v>
      </c>
      <c r="B18" s="21" t="s">
        <v>5</v>
      </c>
      <c r="C18" s="20">
        <v>2</v>
      </c>
      <c r="D18" s="20" t="s">
        <v>28</v>
      </c>
      <c r="E18" s="20">
        <v>40</v>
      </c>
      <c r="F18" s="22"/>
      <c r="G18" s="22"/>
      <c r="H18" s="23">
        <v>0.46388888888888885</v>
      </c>
      <c r="I18" s="24">
        <v>43707.463888888888</v>
      </c>
      <c r="J18" s="23">
        <v>0.46666666666666662</v>
      </c>
      <c r="K18" s="20">
        <v>20000</v>
      </c>
      <c r="L18" s="20">
        <v>-21</v>
      </c>
      <c r="M18" s="20">
        <v>-168</v>
      </c>
    </row>
    <row r="19" spans="1:13" x14ac:dyDescent="0.45">
      <c r="A19" s="19">
        <v>43707</v>
      </c>
      <c r="B19" s="21" t="s">
        <v>5</v>
      </c>
      <c r="C19" s="20">
        <v>2</v>
      </c>
      <c r="D19" s="20" t="s">
        <v>28</v>
      </c>
      <c r="E19" s="20">
        <v>60</v>
      </c>
      <c r="F19" s="22"/>
      <c r="G19" s="22"/>
      <c r="H19" s="23">
        <v>0.47361111111111115</v>
      </c>
      <c r="I19" s="24">
        <v>43707.473611111112</v>
      </c>
      <c r="J19" s="23"/>
      <c r="K19" s="20">
        <v>18000</v>
      </c>
      <c r="L19" s="20">
        <v>-20</v>
      </c>
      <c r="M19" s="20">
        <v>-162</v>
      </c>
    </row>
    <row r="20" spans="1:13" x14ac:dyDescent="0.45">
      <c r="A20" s="19">
        <v>43707</v>
      </c>
      <c r="B20" s="21" t="s">
        <v>5</v>
      </c>
      <c r="C20" s="20">
        <v>2</v>
      </c>
      <c r="D20" s="20" t="s">
        <v>28</v>
      </c>
      <c r="E20" s="20">
        <v>100</v>
      </c>
      <c r="F20" s="22"/>
      <c r="G20" s="22"/>
      <c r="H20" s="23">
        <v>0.4770833333333333</v>
      </c>
      <c r="I20" s="24">
        <v>43707.477083333331</v>
      </c>
      <c r="J20" s="23">
        <v>0.4826388888888889</v>
      </c>
      <c r="K20" s="20">
        <v>18500</v>
      </c>
      <c r="L20" s="20">
        <v>-20</v>
      </c>
      <c r="M20" s="20">
        <v>-164</v>
      </c>
    </row>
    <row r="21" spans="1:13" x14ac:dyDescent="0.45">
      <c r="A21" s="25">
        <v>43707</v>
      </c>
      <c r="B21" s="26" t="s">
        <v>5</v>
      </c>
      <c r="C21" s="27">
        <v>3</v>
      </c>
      <c r="D21" s="27" t="s">
        <v>30</v>
      </c>
      <c r="E21" s="27">
        <v>5</v>
      </c>
      <c r="F21" s="28"/>
      <c r="G21" s="28"/>
      <c r="H21" s="29">
        <v>0.4916666666666667</v>
      </c>
      <c r="I21" s="30">
        <v>43707.491666666669</v>
      </c>
      <c r="J21" s="29">
        <v>0.49513888888888885</v>
      </c>
      <c r="K21" s="27">
        <v>25000</v>
      </c>
      <c r="L21" s="27">
        <v>2.8</v>
      </c>
      <c r="M21" s="27">
        <v>-78</v>
      </c>
    </row>
    <row r="22" spans="1:13" x14ac:dyDescent="0.45">
      <c r="A22" s="25">
        <v>43707</v>
      </c>
      <c r="B22" s="26" t="s">
        <v>5</v>
      </c>
      <c r="C22" s="27">
        <v>3</v>
      </c>
      <c r="D22" s="27" t="s">
        <v>30</v>
      </c>
      <c r="E22" s="27">
        <v>10</v>
      </c>
      <c r="F22" s="28"/>
      <c r="G22" s="28"/>
      <c r="H22" s="29">
        <v>0.49513888888888885</v>
      </c>
      <c r="I22" s="30">
        <v>43707.495138888888</v>
      </c>
      <c r="J22" s="29">
        <v>0.4993055555555555</v>
      </c>
      <c r="K22" s="27">
        <v>25000</v>
      </c>
      <c r="L22" s="27">
        <v>-11</v>
      </c>
      <c r="M22" s="27">
        <v>-123</v>
      </c>
    </row>
    <row r="23" spans="1:13" x14ac:dyDescent="0.45">
      <c r="A23" s="25">
        <v>43707</v>
      </c>
      <c r="B23" s="26" t="s">
        <v>5</v>
      </c>
      <c r="C23" s="27">
        <v>3</v>
      </c>
      <c r="D23" s="27" t="s">
        <v>30</v>
      </c>
      <c r="E23" s="27">
        <v>15</v>
      </c>
      <c r="F23" s="28"/>
      <c r="G23" s="28"/>
      <c r="H23" s="29">
        <v>0.5</v>
      </c>
      <c r="I23" s="30">
        <v>43707.5</v>
      </c>
      <c r="J23" s="29">
        <v>0.50347222222222221</v>
      </c>
      <c r="K23" s="27">
        <v>25000</v>
      </c>
      <c r="L23" s="27">
        <v>-15</v>
      </c>
      <c r="M23" s="27">
        <v>-135</v>
      </c>
    </row>
    <row r="24" spans="1:13" x14ac:dyDescent="0.45">
      <c r="A24" s="25">
        <v>43707</v>
      </c>
      <c r="B24" s="26" t="s">
        <v>5</v>
      </c>
      <c r="C24" s="27">
        <v>3</v>
      </c>
      <c r="D24" s="27" t="s">
        <v>30</v>
      </c>
      <c r="E24" s="27">
        <v>25</v>
      </c>
      <c r="F24" s="28"/>
      <c r="G24" s="28"/>
      <c r="H24" s="29">
        <v>0.50416666666666665</v>
      </c>
      <c r="I24" s="30">
        <v>43707.504166666666</v>
      </c>
      <c r="J24" s="28"/>
      <c r="K24" s="27">
        <v>20000</v>
      </c>
      <c r="L24" s="27">
        <v>-20.7</v>
      </c>
      <c r="M24" s="27">
        <v>-169</v>
      </c>
    </row>
    <row r="25" spans="1:13" x14ac:dyDescent="0.45">
      <c r="A25" s="25">
        <v>43707</v>
      </c>
      <c r="B25" s="26" t="s">
        <v>5</v>
      </c>
      <c r="C25" s="27">
        <v>3</v>
      </c>
      <c r="D25" s="27" t="s">
        <v>30</v>
      </c>
      <c r="E25" s="27">
        <v>40</v>
      </c>
      <c r="F25" s="28"/>
      <c r="G25" s="28"/>
      <c r="H25" s="29">
        <v>0.50763888888888886</v>
      </c>
      <c r="I25" s="30">
        <v>43707.507638888892</v>
      </c>
      <c r="J25" s="29">
        <v>0.51111111111111118</v>
      </c>
      <c r="K25" s="27">
        <v>23000</v>
      </c>
      <c r="L25" s="27">
        <v>-23</v>
      </c>
      <c r="M25" s="27">
        <v>-179</v>
      </c>
    </row>
    <row r="26" spans="1:13" x14ac:dyDescent="0.45">
      <c r="A26" s="19">
        <v>43707</v>
      </c>
      <c r="B26" s="21" t="s">
        <v>5</v>
      </c>
      <c r="C26" s="20">
        <v>3</v>
      </c>
      <c r="D26" s="20" t="s">
        <v>30</v>
      </c>
      <c r="E26" s="20">
        <v>60</v>
      </c>
      <c r="F26" s="22"/>
      <c r="G26" s="22"/>
      <c r="H26" s="23">
        <v>0.51111111111111118</v>
      </c>
      <c r="I26" s="24">
        <v>43707.511111111111</v>
      </c>
      <c r="J26" s="22"/>
      <c r="K26" s="20">
        <v>23700</v>
      </c>
      <c r="L26" s="20">
        <v>-22</v>
      </c>
      <c r="M26" s="20">
        <v>-175</v>
      </c>
    </row>
    <row r="27" spans="1:13" x14ac:dyDescent="0.45">
      <c r="A27" s="19">
        <v>43707</v>
      </c>
      <c r="B27" s="21" t="s">
        <v>5</v>
      </c>
      <c r="C27" s="20">
        <v>3</v>
      </c>
      <c r="D27" s="20" t="s">
        <v>30</v>
      </c>
      <c r="E27" s="20">
        <v>100</v>
      </c>
      <c r="F27" s="22"/>
      <c r="G27" s="22"/>
      <c r="H27" s="23">
        <v>0.51458333333333328</v>
      </c>
      <c r="I27" s="24">
        <v>43707.51458333333</v>
      </c>
      <c r="J27" s="22"/>
      <c r="K27" s="20">
        <v>20400</v>
      </c>
      <c r="L27" s="20">
        <v>-21</v>
      </c>
      <c r="M27" s="20">
        <v>-163</v>
      </c>
    </row>
    <row r="29" spans="1:13" x14ac:dyDescent="0.45">
      <c r="A29" s="19" t="s">
        <v>15</v>
      </c>
      <c r="B29" s="20" t="s">
        <v>16</v>
      </c>
      <c r="C29" s="20" t="s">
        <v>17</v>
      </c>
      <c r="D29" s="20" t="s">
        <v>18</v>
      </c>
      <c r="E29" s="20" t="s">
        <v>19</v>
      </c>
      <c r="F29" s="20" t="s">
        <v>20</v>
      </c>
      <c r="G29" s="20" t="s">
        <v>21</v>
      </c>
      <c r="H29" s="20" t="s">
        <v>22</v>
      </c>
      <c r="I29" s="20" t="s">
        <v>23</v>
      </c>
      <c r="J29" s="20" t="s">
        <v>24</v>
      </c>
      <c r="K29" s="20" t="s">
        <v>25</v>
      </c>
      <c r="L29" s="20" t="s">
        <v>26</v>
      </c>
      <c r="M29" s="20" t="s">
        <v>27</v>
      </c>
    </row>
    <row r="30" spans="1:13" x14ac:dyDescent="0.45">
      <c r="A30" s="25">
        <v>43707</v>
      </c>
      <c r="B30" s="26" t="s">
        <v>5</v>
      </c>
      <c r="C30" s="27">
        <v>1</v>
      </c>
      <c r="D30" s="27" t="s">
        <v>31</v>
      </c>
      <c r="E30" s="27">
        <v>5</v>
      </c>
      <c r="F30" s="27"/>
      <c r="G30" s="27"/>
      <c r="H30" s="29">
        <v>0.39583333333333331</v>
      </c>
      <c r="I30" s="30">
        <v>43707.395833333336</v>
      </c>
      <c r="J30" s="29">
        <v>0.40069444444444446</v>
      </c>
      <c r="K30" s="27">
        <v>13600</v>
      </c>
      <c r="L30" s="27">
        <v>-5.2</v>
      </c>
      <c r="M30" s="27">
        <v>-117</v>
      </c>
    </row>
    <row r="31" spans="1:13" x14ac:dyDescent="0.45">
      <c r="A31" s="25">
        <v>43707</v>
      </c>
      <c r="B31" s="26" t="s">
        <v>5</v>
      </c>
      <c r="C31" s="27">
        <v>1</v>
      </c>
      <c r="D31" s="27" t="s">
        <v>31</v>
      </c>
      <c r="E31" s="27">
        <v>10</v>
      </c>
      <c r="F31" s="28"/>
      <c r="G31" s="28"/>
      <c r="H31" s="29">
        <v>0.4055555555555555</v>
      </c>
      <c r="I31" s="30">
        <v>43707.405555555553</v>
      </c>
      <c r="J31" s="29">
        <v>0.41041666666666665</v>
      </c>
      <c r="K31" s="27">
        <v>22500</v>
      </c>
      <c r="L31" s="27">
        <v>-11.5</v>
      </c>
      <c r="M31" s="27">
        <v>-130</v>
      </c>
    </row>
    <row r="32" spans="1:13" x14ac:dyDescent="0.45">
      <c r="A32" s="25">
        <v>43707</v>
      </c>
      <c r="B32" s="26" t="s">
        <v>5</v>
      </c>
      <c r="C32" s="27">
        <v>1</v>
      </c>
      <c r="D32" s="27" t="s">
        <v>31</v>
      </c>
      <c r="E32" s="27">
        <v>15</v>
      </c>
      <c r="F32" s="28"/>
      <c r="G32" s="28"/>
      <c r="H32" s="29">
        <v>0.41111111111111115</v>
      </c>
      <c r="I32" s="30">
        <v>43707.411111111112</v>
      </c>
      <c r="J32" s="29">
        <v>0.4152777777777778</v>
      </c>
      <c r="K32" s="27">
        <v>23500</v>
      </c>
      <c r="L32" s="27">
        <v>-19</v>
      </c>
      <c r="M32" s="27">
        <v>-163</v>
      </c>
    </row>
    <row r="33" spans="1:13" x14ac:dyDescent="0.45">
      <c r="A33" s="25">
        <v>43707</v>
      </c>
      <c r="B33" s="26" t="s">
        <v>5</v>
      </c>
      <c r="C33" s="27">
        <v>1</v>
      </c>
      <c r="D33" s="27" t="s">
        <v>31</v>
      </c>
      <c r="E33" s="27">
        <v>25</v>
      </c>
      <c r="F33" s="28"/>
      <c r="G33" s="28"/>
      <c r="H33" s="29">
        <v>0.41736111111111113</v>
      </c>
      <c r="I33" s="30">
        <v>43707.417361111111</v>
      </c>
      <c r="J33" s="29">
        <v>0.42152777777777778</v>
      </c>
      <c r="K33" s="27">
        <v>22300</v>
      </c>
      <c r="L33" s="27">
        <v>-22.5</v>
      </c>
      <c r="M33" s="27">
        <v>-178</v>
      </c>
    </row>
    <row r="34" spans="1:13" x14ac:dyDescent="0.45">
      <c r="A34" s="25">
        <v>43707</v>
      </c>
      <c r="B34" s="26" t="s">
        <v>5</v>
      </c>
      <c r="C34" s="27">
        <v>2</v>
      </c>
      <c r="D34" s="27" t="s">
        <v>28</v>
      </c>
      <c r="E34" s="27">
        <v>5</v>
      </c>
      <c r="F34" s="28"/>
      <c r="G34" s="28"/>
      <c r="H34" s="29">
        <v>0.44305555555555554</v>
      </c>
      <c r="I34" s="30">
        <v>43707.443055555559</v>
      </c>
      <c r="J34" s="29">
        <v>0.4465277777777778</v>
      </c>
      <c r="K34" s="27">
        <v>12000</v>
      </c>
      <c r="L34" s="27">
        <v>-5</v>
      </c>
      <c r="M34" s="27">
        <v>-106</v>
      </c>
    </row>
    <row r="35" spans="1:13" x14ac:dyDescent="0.45">
      <c r="A35" s="25">
        <v>43707</v>
      </c>
      <c r="B35" s="26" t="s">
        <v>5</v>
      </c>
      <c r="C35" s="27">
        <v>2</v>
      </c>
      <c r="D35" s="27" t="s">
        <v>28</v>
      </c>
      <c r="E35" s="27">
        <v>10</v>
      </c>
      <c r="F35" s="28"/>
      <c r="G35" s="28"/>
      <c r="H35" s="29">
        <v>0.44722222222222219</v>
      </c>
      <c r="I35" s="30">
        <v>43707.447222222225</v>
      </c>
      <c r="J35" s="28"/>
      <c r="K35" s="27">
        <v>22000</v>
      </c>
      <c r="L35" s="27">
        <v>-3</v>
      </c>
      <c r="M35" s="27">
        <v>-100</v>
      </c>
    </row>
    <row r="36" spans="1:13" x14ac:dyDescent="0.45">
      <c r="A36" s="25">
        <v>43707</v>
      </c>
      <c r="B36" s="26" t="s">
        <v>5</v>
      </c>
      <c r="C36" s="27">
        <v>2</v>
      </c>
      <c r="D36" s="27" t="s">
        <v>28</v>
      </c>
      <c r="E36" s="27">
        <v>15</v>
      </c>
      <c r="F36" s="28"/>
      <c r="G36" s="28"/>
      <c r="H36" s="29">
        <v>0.45208333333333334</v>
      </c>
      <c r="I36" s="30">
        <v>43707.45208333333</v>
      </c>
      <c r="J36" s="29">
        <v>0.45624999999999999</v>
      </c>
      <c r="K36" s="27">
        <v>21000</v>
      </c>
      <c r="L36" s="27">
        <v>-11</v>
      </c>
      <c r="M36" s="27">
        <v>-125</v>
      </c>
    </row>
    <row r="37" spans="1:13" x14ac:dyDescent="0.45">
      <c r="A37" s="25">
        <v>43707</v>
      </c>
      <c r="B37" s="26" t="s">
        <v>5</v>
      </c>
      <c r="C37" s="27">
        <v>2</v>
      </c>
      <c r="D37" s="27" t="s">
        <v>28</v>
      </c>
      <c r="E37" s="27">
        <v>25</v>
      </c>
      <c r="F37" s="28"/>
      <c r="G37" s="28"/>
      <c r="H37" s="29">
        <v>0.46736111111111112</v>
      </c>
      <c r="I37" s="30">
        <v>43707.467361111114</v>
      </c>
      <c r="J37" s="29">
        <v>0.47291666666666665</v>
      </c>
      <c r="K37" s="27">
        <v>18000</v>
      </c>
      <c r="L37" s="27">
        <v>-17</v>
      </c>
      <c r="M37" s="27">
        <v>-157</v>
      </c>
    </row>
    <row r="38" spans="1:13" x14ac:dyDescent="0.45">
      <c r="A38" s="25">
        <v>43707</v>
      </c>
      <c r="B38" s="26" t="s">
        <v>5</v>
      </c>
      <c r="C38" s="27">
        <v>3</v>
      </c>
      <c r="D38" s="27" t="s">
        <v>30</v>
      </c>
      <c r="E38" s="27">
        <v>5</v>
      </c>
      <c r="F38" s="28"/>
      <c r="G38" s="28"/>
      <c r="H38" s="29">
        <v>0.4916666666666667</v>
      </c>
      <c r="I38" s="30">
        <v>43707.491666666669</v>
      </c>
      <c r="J38" s="29">
        <v>0.49513888888888885</v>
      </c>
      <c r="K38" s="27">
        <v>25000</v>
      </c>
      <c r="L38" s="27">
        <v>2.8</v>
      </c>
      <c r="M38" s="27">
        <v>-78</v>
      </c>
    </row>
    <row r="39" spans="1:13" x14ac:dyDescent="0.45">
      <c r="A39" s="25">
        <v>43707</v>
      </c>
      <c r="B39" s="26" t="s">
        <v>5</v>
      </c>
      <c r="C39" s="27">
        <v>3</v>
      </c>
      <c r="D39" s="27" t="s">
        <v>30</v>
      </c>
      <c r="E39" s="27">
        <v>10</v>
      </c>
      <c r="F39" s="28"/>
      <c r="G39" s="28"/>
      <c r="H39" s="29">
        <v>0.49513888888888885</v>
      </c>
      <c r="I39" s="30">
        <v>43707.495138888888</v>
      </c>
      <c r="J39" s="29">
        <v>0.4993055555555555</v>
      </c>
      <c r="K39" s="27">
        <v>25000</v>
      </c>
      <c r="L39" s="27">
        <v>-11</v>
      </c>
      <c r="M39" s="27">
        <v>-123</v>
      </c>
    </row>
    <row r="40" spans="1:13" x14ac:dyDescent="0.45">
      <c r="A40" s="25">
        <v>43707</v>
      </c>
      <c r="B40" s="26" t="s">
        <v>5</v>
      </c>
      <c r="C40" s="27">
        <v>3</v>
      </c>
      <c r="D40" s="27" t="s">
        <v>30</v>
      </c>
      <c r="E40" s="27">
        <v>15</v>
      </c>
      <c r="F40" s="28"/>
      <c r="G40" s="28"/>
      <c r="H40" s="29">
        <v>0.5</v>
      </c>
      <c r="I40" s="30">
        <v>43707.5</v>
      </c>
      <c r="J40" s="29">
        <v>0.50347222222222221</v>
      </c>
      <c r="K40" s="27">
        <v>25000</v>
      </c>
      <c r="L40" s="27">
        <v>-15</v>
      </c>
      <c r="M40" s="27">
        <v>-135</v>
      </c>
    </row>
    <row r="41" spans="1:13" x14ac:dyDescent="0.45">
      <c r="A41" s="25">
        <v>43707</v>
      </c>
      <c r="B41" s="26" t="s">
        <v>5</v>
      </c>
      <c r="C41" s="27">
        <v>3</v>
      </c>
      <c r="D41" s="27" t="s">
        <v>30</v>
      </c>
      <c r="E41" s="27">
        <v>25</v>
      </c>
      <c r="F41" s="28"/>
      <c r="G41" s="28"/>
      <c r="H41" s="29">
        <v>0.50416666666666665</v>
      </c>
      <c r="I41" s="30">
        <v>43707.504166666666</v>
      </c>
      <c r="J41" s="28"/>
      <c r="K41" s="27">
        <v>20000</v>
      </c>
      <c r="L41" s="27">
        <v>-20.7</v>
      </c>
      <c r="M41" s="27">
        <v>-169</v>
      </c>
    </row>
    <row r="42" spans="1:13" x14ac:dyDescent="0.45">
      <c r="A42" s="25">
        <v>43707</v>
      </c>
      <c r="B42" s="26" t="s">
        <v>5</v>
      </c>
      <c r="C42" s="27">
        <v>3</v>
      </c>
      <c r="D42" s="27" t="s">
        <v>30</v>
      </c>
      <c r="E42" s="27">
        <v>40</v>
      </c>
      <c r="F42" s="28"/>
      <c r="G42" s="28"/>
      <c r="H42" s="29">
        <v>0.50763888888888886</v>
      </c>
      <c r="I42" s="30">
        <v>43707.507638888892</v>
      </c>
      <c r="J42" s="29">
        <v>0.51111111111111118</v>
      </c>
      <c r="K42" s="27">
        <v>23000</v>
      </c>
      <c r="L42" s="27">
        <v>-23</v>
      </c>
      <c r="M42" s="27">
        <v>-179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E6CB-4F3E-4920-BD6B-9EA21E9048D8}">
  <dimension ref="A1:X41"/>
  <sheetViews>
    <sheetView topLeftCell="D1" workbookViewId="0">
      <selection activeCell="S3" activeCellId="2" sqref="P3 R3 S3"/>
    </sheetView>
  </sheetViews>
  <sheetFormatPr defaultRowHeight="18.5" x14ac:dyDescent="0.45"/>
  <cols>
    <col min="1" max="1" width="9.42578125" bestFit="1" customWidth="1"/>
    <col min="2" max="2" width="5.92578125" bestFit="1" customWidth="1"/>
    <col min="3" max="3" width="6.92578125" bestFit="1" customWidth="1"/>
    <col min="4" max="4" width="18.5703125" bestFit="1" customWidth="1"/>
    <col min="5" max="5" width="10.92578125" bestFit="1" customWidth="1"/>
    <col min="6" max="6" width="8.5" bestFit="1" customWidth="1"/>
    <col min="7" max="7" width="15.7109375" bestFit="1" customWidth="1"/>
    <col min="8" max="8" width="6.7109375" bestFit="1" customWidth="1"/>
    <col min="9" max="9" width="10.28515625" bestFit="1" customWidth="1"/>
    <col min="10" max="10" width="6.28515625" bestFit="1" customWidth="1"/>
    <col min="11" max="11" width="8.42578125" bestFit="1" customWidth="1"/>
    <col min="12" max="12" width="4" bestFit="1" customWidth="1"/>
    <col min="13" max="13" width="4.7109375" bestFit="1" customWidth="1"/>
    <col min="15" max="15" width="9.0703125" bestFit="1" customWidth="1"/>
    <col min="16" max="16" width="6" bestFit="1" customWidth="1"/>
    <col min="17" max="17" width="4.92578125" bestFit="1" customWidth="1"/>
    <col min="18" max="18" width="11.92578125" bestFit="1" customWidth="1"/>
    <col min="19" max="19" width="6" bestFit="1" customWidth="1"/>
    <col min="20" max="20" width="5.2109375" bestFit="1" customWidth="1"/>
    <col min="21" max="21" width="9.0703125" bestFit="1" customWidth="1"/>
    <col min="22" max="22" width="6.5703125" bestFit="1" customWidth="1"/>
    <col min="23" max="23" width="12.5" bestFit="1" customWidth="1"/>
    <col min="24" max="24" width="11.92578125" bestFit="1" customWidth="1"/>
  </cols>
  <sheetData>
    <row r="1" spans="1:24" ht="19" thickBot="1" x14ac:dyDescent="0.5">
      <c r="A1" s="1" t="s">
        <v>0</v>
      </c>
      <c r="B1" s="1" t="s">
        <v>1</v>
      </c>
      <c r="C1" s="1" t="s">
        <v>2</v>
      </c>
      <c r="D1" s="1" t="s">
        <v>3</v>
      </c>
      <c r="F1" s="22"/>
      <c r="G1" s="101" t="s">
        <v>52</v>
      </c>
      <c r="H1" s="101" t="s">
        <v>53</v>
      </c>
      <c r="I1" s="101" t="s">
        <v>55</v>
      </c>
      <c r="J1" s="101" t="s">
        <v>54</v>
      </c>
      <c r="O1" s="22"/>
      <c r="P1" s="101" t="s">
        <v>52</v>
      </c>
      <c r="Q1" s="101" t="s">
        <v>53</v>
      </c>
      <c r="R1" s="101" t="s">
        <v>55</v>
      </c>
      <c r="S1" s="101" t="s">
        <v>54</v>
      </c>
    </row>
    <row r="2" spans="1:24" ht="19" thickTop="1" x14ac:dyDescent="0.45">
      <c r="A2" s="4" t="s">
        <v>9</v>
      </c>
      <c r="B2" s="4" t="s">
        <v>5</v>
      </c>
      <c r="C2" s="4">
        <v>15</v>
      </c>
      <c r="D2" s="5">
        <v>43725</v>
      </c>
      <c r="F2" s="101" t="s">
        <v>56</v>
      </c>
      <c r="G2" s="22">
        <f>AVERAGE($L$30:$L$41)</f>
        <v>-10.275</v>
      </c>
      <c r="H2" s="22">
        <f>_xlfn.STDEV.S($L$30:$L$41)</f>
        <v>9.1360549472953601</v>
      </c>
      <c r="I2" s="22">
        <f>H2/SQRT(J2)</f>
        <v>2.6373518915760945</v>
      </c>
      <c r="J2" s="22">
        <f>COUNT(L30:L41)</f>
        <v>12</v>
      </c>
      <c r="O2" s="101" t="s">
        <v>56</v>
      </c>
      <c r="P2" s="102">
        <f>AVERAGE(T7:T14)</f>
        <v>-8.3728732426499999</v>
      </c>
      <c r="Q2" s="102">
        <f>_xlfn.STDEV.S($T$7:T14)</f>
        <v>1.2808479467373275</v>
      </c>
      <c r="R2" s="22">
        <f>Q2/SQRT(S2)</f>
        <v>0.45284813440341504</v>
      </c>
      <c r="S2" s="102">
        <f>COUNT($T$7:T14)</f>
        <v>8</v>
      </c>
    </row>
    <row r="3" spans="1:24" x14ac:dyDescent="0.45">
      <c r="F3" s="101" t="s">
        <v>57</v>
      </c>
      <c r="G3" s="22">
        <f>AVERAGE($M$30:$M$41)</f>
        <v>-128.61666666666667</v>
      </c>
      <c r="H3" s="22">
        <f>_xlfn.STDEV.S($M$30:$M$41)</f>
        <v>36.611097009546476</v>
      </c>
      <c r="I3" s="22">
        <f>H3/SQRT(J3)</f>
        <v>10.56871335689458</v>
      </c>
      <c r="J3" s="22">
        <f>COUNT(M30:M41)</f>
        <v>12</v>
      </c>
      <c r="O3" s="101" t="s">
        <v>57</v>
      </c>
      <c r="P3" s="102">
        <f>AVERAGE(S7:S14)</f>
        <v>-107.94841210446251</v>
      </c>
      <c r="Q3" s="102">
        <f>_xlfn.STDEV.S($S$7:S14)</f>
        <v>4.55111126714585</v>
      </c>
      <c r="R3" s="22">
        <f>Q3/SQRT(S3)</f>
        <v>1.6090608194666658</v>
      </c>
      <c r="S3" s="102">
        <f>COUNT($S$7:S14)</f>
        <v>8</v>
      </c>
    </row>
    <row r="6" spans="1:24" x14ac:dyDescent="0.45">
      <c r="A6" s="19" t="s">
        <v>15</v>
      </c>
      <c r="B6" s="20" t="s">
        <v>16</v>
      </c>
      <c r="C6" s="20" t="s">
        <v>17</v>
      </c>
      <c r="D6" s="20" t="s">
        <v>18</v>
      </c>
      <c r="E6" s="20" t="s">
        <v>19</v>
      </c>
      <c r="F6" s="20" t="s">
        <v>20</v>
      </c>
      <c r="G6" s="20" t="s">
        <v>21</v>
      </c>
      <c r="H6" s="20" t="s">
        <v>22</v>
      </c>
      <c r="I6" s="20" t="s">
        <v>23</v>
      </c>
      <c r="J6" s="20" t="s">
        <v>24</v>
      </c>
      <c r="K6" s="20" t="s">
        <v>25</v>
      </c>
      <c r="L6" s="20" t="s">
        <v>26</v>
      </c>
      <c r="M6" s="20" t="s">
        <v>27</v>
      </c>
      <c r="O6" s="22" t="s">
        <v>33</v>
      </c>
      <c r="P6" s="22" t="s">
        <v>34</v>
      </c>
      <c r="Q6" s="22" t="s">
        <v>35</v>
      </c>
      <c r="R6" s="22" t="s">
        <v>36</v>
      </c>
      <c r="S6" s="22" t="s">
        <v>27</v>
      </c>
      <c r="T6" s="22" t="s">
        <v>26</v>
      </c>
      <c r="U6" s="22" t="s">
        <v>37</v>
      </c>
      <c r="V6" s="22" t="s">
        <v>38</v>
      </c>
      <c r="W6" s="22" t="s">
        <v>39</v>
      </c>
      <c r="X6" s="22" t="s">
        <v>40</v>
      </c>
    </row>
    <row r="7" spans="1:24" x14ac:dyDescent="0.45">
      <c r="A7" s="42">
        <v>43725</v>
      </c>
      <c r="B7" s="26" t="s">
        <v>5</v>
      </c>
      <c r="C7" s="27">
        <v>1</v>
      </c>
      <c r="D7" s="27" t="s">
        <v>31</v>
      </c>
      <c r="E7" s="27">
        <v>5</v>
      </c>
      <c r="F7" s="43"/>
      <c r="G7" s="43"/>
      <c r="H7" s="44">
        <v>0.41736111111111113</v>
      </c>
      <c r="I7" s="30">
        <v>43725.417361111111</v>
      </c>
      <c r="J7" s="44">
        <v>0.42638888888888887</v>
      </c>
      <c r="K7" s="43">
        <v>14000</v>
      </c>
      <c r="L7" s="43">
        <v>0.3</v>
      </c>
      <c r="M7" s="43">
        <v>-95</v>
      </c>
      <c r="O7" s="57">
        <v>43725</v>
      </c>
      <c r="P7" s="22">
        <v>1</v>
      </c>
      <c r="Q7" s="58" t="s">
        <v>41</v>
      </c>
      <c r="R7" s="58" t="s">
        <v>42</v>
      </c>
      <c r="S7" s="59">
        <v>-98.882607211099995</v>
      </c>
      <c r="T7" s="59">
        <v>-5.6022180831000004</v>
      </c>
      <c r="U7" s="60">
        <v>43725</v>
      </c>
      <c r="V7" s="22">
        <v>1</v>
      </c>
      <c r="W7" s="22">
        <v>-101.82361330000001</v>
      </c>
      <c r="X7" s="22">
        <v>2.8028581435345489E-2</v>
      </c>
    </row>
    <row r="8" spans="1:24" x14ac:dyDescent="0.45">
      <c r="A8" s="42">
        <v>43725</v>
      </c>
      <c r="B8" s="26" t="s">
        <v>5</v>
      </c>
      <c r="C8" s="27">
        <v>1</v>
      </c>
      <c r="D8" s="27" t="s">
        <v>31</v>
      </c>
      <c r="E8" s="27">
        <v>10</v>
      </c>
      <c r="F8" s="43"/>
      <c r="G8" s="43"/>
      <c r="H8" s="44">
        <v>0.4284722222222222</v>
      </c>
      <c r="I8" s="30">
        <v>43725.428472222222</v>
      </c>
      <c r="J8" s="44">
        <v>0.43888888888888888</v>
      </c>
      <c r="K8" s="43">
        <v>18000</v>
      </c>
      <c r="L8" s="43">
        <v>-10.8</v>
      </c>
      <c r="M8" s="43">
        <v>-132</v>
      </c>
      <c r="O8" s="57">
        <v>43725</v>
      </c>
      <c r="P8" s="22">
        <v>2</v>
      </c>
      <c r="Q8" s="58" t="s">
        <v>41</v>
      </c>
      <c r="R8" s="58" t="s">
        <v>42</v>
      </c>
      <c r="S8" s="59">
        <v>-110.84830009220001</v>
      </c>
      <c r="T8" s="59">
        <v>-9.0043075684999998</v>
      </c>
      <c r="U8" s="60">
        <v>43725</v>
      </c>
      <c r="V8" s="22">
        <v>2</v>
      </c>
      <c r="W8" s="22">
        <v>-111.86513485</v>
      </c>
      <c r="X8" s="22">
        <v>1.502156786302655</v>
      </c>
    </row>
    <row r="9" spans="1:24" x14ac:dyDescent="0.45">
      <c r="A9" s="42">
        <v>43725</v>
      </c>
      <c r="B9" s="26" t="s">
        <v>5</v>
      </c>
      <c r="C9" s="27">
        <v>1</v>
      </c>
      <c r="D9" s="27" t="s">
        <v>31</v>
      </c>
      <c r="E9" s="27">
        <v>15</v>
      </c>
      <c r="F9" s="43"/>
      <c r="G9" s="43"/>
      <c r="H9" s="44">
        <v>0.43888888888888888</v>
      </c>
      <c r="I9" s="30">
        <v>43725.438888888886</v>
      </c>
      <c r="J9" s="44">
        <v>0.44236111111111115</v>
      </c>
      <c r="K9" s="43">
        <v>19500</v>
      </c>
      <c r="L9" s="43">
        <v>-17.5</v>
      </c>
      <c r="M9" s="43">
        <v>-163</v>
      </c>
      <c r="O9" s="57">
        <v>43725</v>
      </c>
      <c r="P9" s="22">
        <v>3</v>
      </c>
      <c r="Q9" s="58" t="s">
        <v>41</v>
      </c>
      <c r="R9" s="58" t="s">
        <v>42</v>
      </c>
      <c r="S9" s="59">
        <v>-104.96105346260001</v>
      </c>
      <c r="T9" s="59">
        <v>-7.9637999644999997</v>
      </c>
      <c r="U9" s="60">
        <v>43725</v>
      </c>
      <c r="V9" s="22">
        <v>3</v>
      </c>
      <c r="W9" s="22">
        <v>-103.10133234999998</v>
      </c>
      <c r="X9" s="22">
        <v>1.016911970202548</v>
      </c>
    </row>
    <row r="10" spans="1:24" x14ac:dyDescent="0.45">
      <c r="A10" s="42">
        <v>43725</v>
      </c>
      <c r="B10" s="26" t="s">
        <v>5</v>
      </c>
      <c r="C10" s="27">
        <v>1</v>
      </c>
      <c r="D10" s="27" t="s">
        <v>31</v>
      </c>
      <c r="E10" s="27">
        <v>25</v>
      </c>
      <c r="F10" s="43"/>
      <c r="G10" s="43"/>
      <c r="H10" s="44">
        <v>0.44305555555555554</v>
      </c>
      <c r="I10" s="30">
        <v>43725.443055555559</v>
      </c>
      <c r="J10" s="44">
        <v>0.44791666666666669</v>
      </c>
      <c r="K10" s="43">
        <v>18600</v>
      </c>
      <c r="L10" s="43">
        <v>-20.8</v>
      </c>
      <c r="M10" s="43">
        <v>-176</v>
      </c>
      <c r="O10" s="57">
        <v>43725</v>
      </c>
      <c r="P10" s="22">
        <v>4</v>
      </c>
      <c r="Q10" s="58" t="s">
        <v>41</v>
      </c>
      <c r="R10" s="58" t="s">
        <v>42</v>
      </c>
      <c r="S10" s="59">
        <v>-111.3774306704</v>
      </c>
      <c r="T10" s="59">
        <v>-9.6970888567000006</v>
      </c>
      <c r="U10" s="60">
        <v>43725</v>
      </c>
      <c r="V10" s="22">
        <v>4</v>
      </c>
      <c r="W10" s="22">
        <v>-111.55793724999998</v>
      </c>
      <c r="X10" s="22">
        <v>1.3479995884080136</v>
      </c>
    </row>
    <row r="11" spans="1:24" x14ac:dyDescent="0.45">
      <c r="A11" s="39">
        <v>43725</v>
      </c>
      <c r="B11" s="21" t="s">
        <v>5</v>
      </c>
      <c r="C11" s="20">
        <v>1</v>
      </c>
      <c r="D11" s="20" t="s">
        <v>31</v>
      </c>
      <c r="E11" s="20">
        <v>40</v>
      </c>
      <c r="F11" s="40"/>
      <c r="G11" s="40"/>
      <c r="H11" s="41">
        <v>0.44861111111111113</v>
      </c>
      <c r="I11" s="24">
        <v>43725.448611111111</v>
      </c>
      <c r="J11" s="41">
        <v>0.4548611111111111</v>
      </c>
      <c r="K11" s="40">
        <v>18000</v>
      </c>
      <c r="L11" s="40">
        <v>-25.5</v>
      </c>
      <c r="M11" s="40">
        <v>-192</v>
      </c>
      <c r="O11" s="57">
        <v>43725</v>
      </c>
      <c r="P11" s="22">
        <v>5</v>
      </c>
      <c r="Q11" s="58" t="s">
        <v>41</v>
      </c>
      <c r="R11" s="58" t="s">
        <v>42</v>
      </c>
      <c r="S11" s="59">
        <v>-110.0498276591</v>
      </c>
      <c r="T11" s="59">
        <v>-8.7406860452000004</v>
      </c>
      <c r="U11" s="60">
        <v>43725</v>
      </c>
      <c r="V11" s="22">
        <v>5</v>
      </c>
      <c r="W11" s="22">
        <v>-109.17963324999997</v>
      </c>
      <c r="X11" s="22">
        <v>0.80144225041801287</v>
      </c>
    </row>
    <row r="12" spans="1:24" x14ac:dyDescent="0.45">
      <c r="A12" s="39">
        <v>43725</v>
      </c>
      <c r="B12" s="21" t="s">
        <v>5</v>
      </c>
      <c r="C12" s="20">
        <v>1</v>
      </c>
      <c r="D12" s="20" t="s">
        <v>31</v>
      </c>
      <c r="E12" s="20">
        <v>60</v>
      </c>
      <c r="F12" s="40"/>
      <c r="G12" s="40"/>
      <c r="H12" s="41">
        <v>0.45555555555555555</v>
      </c>
      <c r="I12" s="24">
        <v>43725.455555555556</v>
      </c>
      <c r="J12" s="41">
        <v>0.45902777777777781</v>
      </c>
      <c r="K12" s="40">
        <v>19400</v>
      </c>
      <c r="L12" s="40">
        <v>-25</v>
      </c>
      <c r="M12" s="40">
        <v>-188</v>
      </c>
      <c r="O12" s="57">
        <v>43725</v>
      </c>
      <c r="P12" s="22">
        <v>6</v>
      </c>
      <c r="Q12" s="58" t="s">
        <v>41</v>
      </c>
      <c r="R12" s="58" t="s">
        <v>42</v>
      </c>
      <c r="S12" s="59">
        <v>-107.72850127629999</v>
      </c>
      <c r="T12" s="59">
        <v>-7.9600594277000001</v>
      </c>
      <c r="U12" s="60">
        <v>43725</v>
      </c>
      <c r="V12" s="22">
        <v>6</v>
      </c>
      <c r="W12" s="22">
        <v>-107.20452610000001</v>
      </c>
      <c r="X12" s="22">
        <v>0.80757350260702232</v>
      </c>
    </row>
    <row r="13" spans="1:24" x14ac:dyDescent="0.45">
      <c r="A13" s="39">
        <v>43725</v>
      </c>
      <c r="B13" s="21" t="s">
        <v>5</v>
      </c>
      <c r="C13" s="20">
        <v>1</v>
      </c>
      <c r="D13" s="20" t="s">
        <v>31</v>
      </c>
      <c r="E13" s="20">
        <v>100</v>
      </c>
      <c r="F13" s="40"/>
      <c r="G13" s="40"/>
      <c r="H13" s="41">
        <v>0.4597222222222222</v>
      </c>
      <c r="I13" s="24">
        <v>43725.459722222222</v>
      </c>
      <c r="J13" s="41">
        <v>0.46458333333333335</v>
      </c>
      <c r="K13" s="40">
        <v>19300</v>
      </c>
      <c r="L13" s="40">
        <v>-22.5</v>
      </c>
      <c r="M13" s="40">
        <v>-172</v>
      </c>
      <c r="O13" s="57">
        <v>43725</v>
      </c>
      <c r="P13" s="22">
        <v>7</v>
      </c>
      <c r="Q13" s="58" t="s">
        <v>41</v>
      </c>
      <c r="R13" s="58" t="s">
        <v>42</v>
      </c>
      <c r="S13" s="59">
        <v>-113.1758407968</v>
      </c>
      <c r="T13" s="59">
        <v>-9.4415155622999993</v>
      </c>
      <c r="U13" s="60">
        <v>43725</v>
      </c>
      <c r="V13" s="22">
        <v>7</v>
      </c>
      <c r="W13" s="22">
        <v>-112.43211069999998</v>
      </c>
      <c r="X13" s="22">
        <v>0.44695102410087989</v>
      </c>
    </row>
    <row r="14" spans="1:24" x14ac:dyDescent="0.45">
      <c r="A14" s="42">
        <v>43725</v>
      </c>
      <c r="B14" s="26" t="s">
        <v>5</v>
      </c>
      <c r="C14" s="27">
        <v>2</v>
      </c>
      <c r="D14" s="27" t="s">
        <v>28</v>
      </c>
      <c r="E14" s="27">
        <v>5</v>
      </c>
      <c r="F14" s="43"/>
      <c r="G14" s="43"/>
      <c r="H14" s="44">
        <v>0.47222222222222227</v>
      </c>
      <c r="I14" s="30">
        <v>43725.472222222219</v>
      </c>
      <c r="J14" s="44">
        <v>0.4770833333333333</v>
      </c>
      <c r="K14" s="43">
        <v>14100</v>
      </c>
      <c r="L14" s="43">
        <v>5.5</v>
      </c>
      <c r="M14" s="43">
        <v>-67</v>
      </c>
      <c r="O14" s="57">
        <v>43725</v>
      </c>
      <c r="P14" s="22">
        <v>8</v>
      </c>
      <c r="Q14" s="58" t="s">
        <v>41</v>
      </c>
      <c r="R14" s="58" t="s">
        <v>42</v>
      </c>
      <c r="S14" s="59">
        <v>-106.56373566720001</v>
      </c>
      <c r="T14" s="59">
        <v>-8.5733104331999996</v>
      </c>
      <c r="U14" s="60">
        <v>43725</v>
      </c>
      <c r="V14" s="22">
        <v>8</v>
      </c>
      <c r="W14" s="22">
        <v>-106.13366994999998</v>
      </c>
      <c r="X14" s="22">
        <v>0.21984918563381023</v>
      </c>
    </row>
    <row r="15" spans="1:24" x14ac:dyDescent="0.45">
      <c r="A15" s="42">
        <v>43725</v>
      </c>
      <c r="B15" s="26" t="s">
        <v>5</v>
      </c>
      <c r="C15" s="27">
        <v>2</v>
      </c>
      <c r="D15" s="27" t="s">
        <v>28</v>
      </c>
      <c r="E15" s="27">
        <v>10</v>
      </c>
      <c r="F15" s="43"/>
      <c r="G15" s="43"/>
      <c r="H15" s="44">
        <v>0.47847222222222219</v>
      </c>
      <c r="I15" s="30">
        <v>43725.478472222225</v>
      </c>
      <c r="J15" s="44">
        <v>0.48055555555555557</v>
      </c>
      <c r="K15" s="43">
        <v>17400</v>
      </c>
      <c r="L15" s="43">
        <v>-7.7</v>
      </c>
      <c r="M15" s="43">
        <v>-110</v>
      </c>
    </row>
    <row r="16" spans="1:24" x14ac:dyDescent="0.45">
      <c r="A16" s="42">
        <v>43725</v>
      </c>
      <c r="B16" s="26" t="s">
        <v>5</v>
      </c>
      <c r="C16" s="27">
        <v>2</v>
      </c>
      <c r="D16" s="27" t="s">
        <v>28</v>
      </c>
      <c r="E16" s="27">
        <v>15</v>
      </c>
      <c r="F16" s="43"/>
      <c r="G16" s="43"/>
      <c r="H16" s="44">
        <v>0.48125000000000001</v>
      </c>
      <c r="I16" s="30">
        <v>43725.481249999997</v>
      </c>
      <c r="J16" s="44">
        <v>0.48402777777777778</v>
      </c>
      <c r="K16" s="43">
        <v>17900</v>
      </c>
      <c r="L16" s="43">
        <v>-11.5</v>
      </c>
      <c r="M16" s="43">
        <v>-131</v>
      </c>
    </row>
    <row r="17" spans="1:13" x14ac:dyDescent="0.45">
      <c r="A17" s="42">
        <v>43725</v>
      </c>
      <c r="B17" s="26" t="s">
        <v>5</v>
      </c>
      <c r="C17" s="27">
        <v>2</v>
      </c>
      <c r="D17" s="27" t="s">
        <v>28</v>
      </c>
      <c r="E17" s="27">
        <v>25</v>
      </c>
      <c r="F17" s="43"/>
      <c r="G17" s="43"/>
      <c r="H17" s="44">
        <v>0.48472222222222222</v>
      </c>
      <c r="I17" s="30">
        <v>43725.484722222223</v>
      </c>
      <c r="J17" s="44">
        <v>0.4916666666666667</v>
      </c>
      <c r="K17" s="43">
        <v>16100</v>
      </c>
      <c r="L17" s="43">
        <v>-17.5</v>
      </c>
      <c r="M17" s="43">
        <v>-159</v>
      </c>
    </row>
    <row r="18" spans="1:13" x14ac:dyDescent="0.45">
      <c r="A18" s="39">
        <v>43725</v>
      </c>
      <c r="B18" s="21" t="s">
        <v>5</v>
      </c>
      <c r="C18" s="20">
        <v>2</v>
      </c>
      <c r="D18" s="20" t="s">
        <v>28</v>
      </c>
      <c r="E18" s="20">
        <v>40</v>
      </c>
      <c r="F18" s="40"/>
      <c r="G18" s="40"/>
      <c r="H18" s="41">
        <v>0.48819444444444443</v>
      </c>
      <c r="I18" s="24">
        <v>43725.488194444442</v>
      </c>
      <c r="J18" s="41">
        <v>0.4916666666666667</v>
      </c>
      <c r="K18" s="40">
        <v>17500</v>
      </c>
      <c r="L18" s="40">
        <v>-21.8</v>
      </c>
      <c r="M18" s="40">
        <v>-175</v>
      </c>
    </row>
    <row r="19" spans="1:13" x14ac:dyDescent="0.45">
      <c r="A19" s="39">
        <v>43725</v>
      </c>
      <c r="B19" s="21" t="s">
        <v>5</v>
      </c>
      <c r="C19" s="20">
        <v>2</v>
      </c>
      <c r="D19" s="20" t="s">
        <v>28</v>
      </c>
      <c r="E19" s="20">
        <v>60</v>
      </c>
      <c r="F19" s="40"/>
      <c r="G19" s="40"/>
      <c r="H19" s="41">
        <v>0.4916666666666667</v>
      </c>
      <c r="I19" s="24">
        <v>43725.491666666669</v>
      </c>
      <c r="J19" s="41">
        <v>0.49652777777777773</v>
      </c>
      <c r="K19" s="40">
        <v>17600</v>
      </c>
      <c r="L19" s="40">
        <v>-21</v>
      </c>
      <c r="M19" s="40">
        <v>-169</v>
      </c>
    </row>
    <row r="20" spans="1:13" x14ac:dyDescent="0.45">
      <c r="A20" s="39">
        <v>43725</v>
      </c>
      <c r="B20" s="21" t="s">
        <v>5</v>
      </c>
      <c r="C20" s="20">
        <v>2</v>
      </c>
      <c r="D20" s="20" t="s">
        <v>28</v>
      </c>
      <c r="E20" s="20">
        <v>100</v>
      </c>
      <c r="F20" s="40"/>
      <c r="G20" s="40"/>
      <c r="H20" s="41">
        <v>0.49722222222222223</v>
      </c>
      <c r="I20" s="24">
        <v>43725.49722222222</v>
      </c>
      <c r="J20" s="41">
        <v>0.5</v>
      </c>
      <c r="K20" s="40">
        <v>18800</v>
      </c>
      <c r="L20" s="40">
        <v>-21.5</v>
      </c>
      <c r="M20" s="40">
        <v>-165</v>
      </c>
    </row>
    <row r="21" spans="1:13" x14ac:dyDescent="0.45">
      <c r="A21" s="42">
        <v>43725</v>
      </c>
      <c r="B21" s="26" t="s">
        <v>5</v>
      </c>
      <c r="C21" s="27">
        <v>3</v>
      </c>
      <c r="D21" s="27" t="s">
        <v>30</v>
      </c>
      <c r="E21" s="27">
        <v>5</v>
      </c>
      <c r="F21" s="43"/>
      <c r="G21" s="43"/>
      <c r="H21" s="44">
        <v>0.50694444444444442</v>
      </c>
      <c r="I21" s="30">
        <v>43725.506944444445</v>
      </c>
      <c r="J21" s="44">
        <v>0.51388888888888895</v>
      </c>
      <c r="K21" s="43">
        <v>20500</v>
      </c>
      <c r="L21" s="43">
        <v>3.5</v>
      </c>
      <c r="M21" s="43">
        <v>-73.5</v>
      </c>
    </row>
    <row r="22" spans="1:13" x14ac:dyDescent="0.45">
      <c r="A22" s="42">
        <v>43725</v>
      </c>
      <c r="B22" s="26" t="s">
        <v>5</v>
      </c>
      <c r="C22" s="27">
        <v>3</v>
      </c>
      <c r="D22" s="27" t="s">
        <v>30</v>
      </c>
      <c r="E22" s="27">
        <v>10</v>
      </c>
      <c r="F22" s="43"/>
      <c r="G22" s="43"/>
      <c r="H22" s="44">
        <v>0.51388888888888895</v>
      </c>
      <c r="I22" s="30">
        <v>43725.513888888891</v>
      </c>
      <c r="J22" s="44">
        <v>0.51666666666666672</v>
      </c>
      <c r="K22" s="43">
        <v>20200</v>
      </c>
      <c r="L22" s="43">
        <v>-10.8</v>
      </c>
      <c r="M22" s="43">
        <v>-125.9</v>
      </c>
    </row>
    <row r="23" spans="1:13" x14ac:dyDescent="0.45">
      <c r="A23" s="42">
        <v>43725</v>
      </c>
      <c r="B23" s="26" t="s">
        <v>5</v>
      </c>
      <c r="C23" s="27">
        <v>3</v>
      </c>
      <c r="D23" s="27" t="s">
        <v>30</v>
      </c>
      <c r="E23" s="27">
        <v>15</v>
      </c>
      <c r="F23" s="43"/>
      <c r="G23" s="43"/>
      <c r="H23" s="44">
        <v>0.51736111111111105</v>
      </c>
      <c r="I23" s="30">
        <v>43725.517361111109</v>
      </c>
      <c r="J23" s="44">
        <v>0.52361111111111114</v>
      </c>
      <c r="K23" s="43">
        <v>20500</v>
      </c>
      <c r="L23" s="43">
        <v>-14.5</v>
      </c>
      <c r="M23" s="43">
        <v>-138</v>
      </c>
    </row>
    <row r="24" spans="1:13" x14ac:dyDescent="0.45">
      <c r="A24" s="42">
        <v>43725</v>
      </c>
      <c r="B24" s="26" t="s">
        <v>5</v>
      </c>
      <c r="C24" s="27">
        <v>3</v>
      </c>
      <c r="D24" s="27" t="s">
        <v>30</v>
      </c>
      <c r="E24" s="27">
        <v>25</v>
      </c>
      <c r="F24" s="43"/>
      <c r="G24" s="43"/>
      <c r="H24" s="44">
        <v>0.52361111111111114</v>
      </c>
      <c r="I24" s="30">
        <v>43725.523611111108</v>
      </c>
      <c r="J24" s="44">
        <v>0.52708333333333335</v>
      </c>
      <c r="K24" s="43">
        <v>18000</v>
      </c>
      <c r="L24" s="43">
        <v>-21.5</v>
      </c>
      <c r="M24" s="43">
        <v>-173</v>
      </c>
    </row>
    <row r="25" spans="1:13" x14ac:dyDescent="0.45">
      <c r="A25" s="39">
        <v>43725</v>
      </c>
      <c r="B25" s="21" t="s">
        <v>5</v>
      </c>
      <c r="C25" s="20">
        <v>3</v>
      </c>
      <c r="D25" s="20" t="s">
        <v>30</v>
      </c>
      <c r="E25" s="20">
        <v>40</v>
      </c>
      <c r="F25" s="40"/>
      <c r="G25" s="40"/>
      <c r="H25" s="41">
        <v>0.53125</v>
      </c>
      <c r="I25" s="24">
        <v>43725.53125</v>
      </c>
      <c r="J25" s="41">
        <v>0.53472222222222221</v>
      </c>
      <c r="K25" s="40">
        <v>19000</v>
      </c>
      <c r="L25" s="40">
        <v>-24.5</v>
      </c>
      <c r="M25" s="40">
        <v>-186</v>
      </c>
    </row>
    <row r="26" spans="1:13" x14ac:dyDescent="0.45">
      <c r="A26" s="39">
        <v>43725</v>
      </c>
      <c r="B26" s="21" t="s">
        <v>5</v>
      </c>
      <c r="C26" s="20">
        <v>3</v>
      </c>
      <c r="D26" s="20" t="s">
        <v>30</v>
      </c>
      <c r="E26" s="20">
        <v>60</v>
      </c>
      <c r="F26" s="40"/>
      <c r="G26" s="40"/>
      <c r="H26" s="41">
        <v>0.53472222222222221</v>
      </c>
      <c r="I26" s="24">
        <v>43725.534722222219</v>
      </c>
      <c r="J26" s="41">
        <v>0.53888888888888886</v>
      </c>
      <c r="K26" s="40">
        <v>20500</v>
      </c>
      <c r="L26" s="40">
        <v>-23.5</v>
      </c>
      <c r="M26" s="40">
        <v>-181</v>
      </c>
    </row>
    <row r="27" spans="1:13" x14ac:dyDescent="0.45">
      <c r="A27" s="39">
        <v>43725</v>
      </c>
      <c r="B27" s="21" t="s">
        <v>5</v>
      </c>
      <c r="C27" s="20">
        <v>3</v>
      </c>
      <c r="D27" s="20" t="s">
        <v>30</v>
      </c>
      <c r="E27" s="20">
        <v>100</v>
      </c>
      <c r="F27" s="40"/>
      <c r="G27" s="40"/>
      <c r="H27" s="41">
        <v>0.5395833333333333</v>
      </c>
      <c r="I27" s="24">
        <v>43725.539583333331</v>
      </c>
      <c r="J27" s="41">
        <v>4.2361111111111106E-2</v>
      </c>
      <c r="K27" s="40">
        <v>20200</v>
      </c>
      <c r="L27" s="40">
        <v>-21.8</v>
      </c>
      <c r="M27" s="40">
        <v>-169</v>
      </c>
    </row>
    <row r="29" spans="1:13" x14ac:dyDescent="0.45">
      <c r="A29" s="19" t="s">
        <v>15</v>
      </c>
      <c r="B29" s="20" t="s">
        <v>16</v>
      </c>
      <c r="C29" s="20" t="s">
        <v>17</v>
      </c>
      <c r="D29" s="20" t="s">
        <v>18</v>
      </c>
      <c r="E29" s="20" t="s">
        <v>19</v>
      </c>
      <c r="F29" s="20" t="s">
        <v>20</v>
      </c>
      <c r="G29" s="20" t="s">
        <v>21</v>
      </c>
      <c r="H29" s="20" t="s">
        <v>22</v>
      </c>
      <c r="I29" s="20" t="s">
        <v>23</v>
      </c>
      <c r="J29" s="20" t="s">
        <v>24</v>
      </c>
      <c r="K29" s="20" t="s">
        <v>25</v>
      </c>
      <c r="L29" s="20" t="s">
        <v>26</v>
      </c>
      <c r="M29" s="20" t="s">
        <v>27</v>
      </c>
    </row>
    <row r="30" spans="1:13" x14ac:dyDescent="0.45">
      <c r="A30" s="42">
        <v>43725</v>
      </c>
      <c r="B30" s="26" t="s">
        <v>5</v>
      </c>
      <c r="C30" s="27">
        <v>1</v>
      </c>
      <c r="D30" s="27" t="s">
        <v>31</v>
      </c>
      <c r="E30" s="27">
        <v>5</v>
      </c>
      <c r="F30" s="43"/>
      <c r="G30" s="43"/>
      <c r="H30" s="44">
        <v>0.41736111111111113</v>
      </c>
      <c r="I30" s="30">
        <v>43725.417361111111</v>
      </c>
      <c r="J30" s="44">
        <v>0.42638888888888887</v>
      </c>
      <c r="K30" s="43">
        <v>14000</v>
      </c>
      <c r="L30" s="43">
        <v>0.3</v>
      </c>
      <c r="M30" s="43">
        <v>-95</v>
      </c>
    </row>
    <row r="31" spans="1:13" x14ac:dyDescent="0.45">
      <c r="A31" s="42">
        <v>43725</v>
      </c>
      <c r="B31" s="26" t="s">
        <v>5</v>
      </c>
      <c r="C31" s="27">
        <v>1</v>
      </c>
      <c r="D31" s="27" t="s">
        <v>31</v>
      </c>
      <c r="E31" s="27">
        <v>10</v>
      </c>
      <c r="F31" s="43"/>
      <c r="G31" s="43"/>
      <c r="H31" s="44">
        <v>0.4284722222222222</v>
      </c>
      <c r="I31" s="30">
        <v>43725.428472222222</v>
      </c>
      <c r="J31" s="44">
        <v>0.43888888888888888</v>
      </c>
      <c r="K31" s="43">
        <v>18000</v>
      </c>
      <c r="L31" s="43">
        <v>-10.8</v>
      </c>
      <c r="M31" s="43">
        <v>-132</v>
      </c>
    </row>
    <row r="32" spans="1:13" x14ac:dyDescent="0.45">
      <c r="A32" s="42">
        <v>43725</v>
      </c>
      <c r="B32" s="26" t="s">
        <v>5</v>
      </c>
      <c r="C32" s="27">
        <v>1</v>
      </c>
      <c r="D32" s="27" t="s">
        <v>31</v>
      </c>
      <c r="E32" s="27">
        <v>15</v>
      </c>
      <c r="F32" s="43"/>
      <c r="G32" s="43"/>
      <c r="H32" s="44">
        <v>0.43888888888888888</v>
      </c>
      <c r="I32" s="30">
        <v>43725.438888888886</v>
      </c>
      <c r="J32" s="44">
        <v>0.44236111111111115</v>
      </c>
      <c r="K32" s="43">
        <v>19500</v>
      </c>
      <c r="L32" s="43">
        <v>-17.5</v>
      </c>
      <c r="M32" s="43">
        <v>-163</v>
      </c>
    </row>
    <row r="33" spans="1:13" x14ac:dyDescent="0.45">
      <c r="A33" s="42">
        <v>43725</v>
      </c>
      <c r="B33" s="26" t="s">
        <v>5</v>
      </c>
      <c r="C33" s="27">
        <v>1</v>
      </c>
      <c r="D33" s="27" t="s">
        <v>31</v>
      </c>
      <c r="E33" s="27">
        <v>25</v>
      </c>
      <c r="F33" s="43"/>
      <c r="G33" s="43"/>
      <c r="H33" s="44">
        <v>0.44305555555555554</v>
      </c>
      <c r="I33" s="30">
        <v>43725.443055555559</v>
      </c>
      <c r="J33" s="44">
        <v>0.44791666666666669</v>
      </c>
      <c r="K33" s="43">
        <v>18600</v>
      </c>
      <c r="L33" s="43">
        <v>-20.8</v>
      </c>
      <c r="M33" s="43">
        <v>-176</v>
      </c>
    </row>
    <row r="34" spans="1:13" x14ac:dyDescent="0.45">
      <c r="A34" s="42">
        <v>43725</v>
      </c>
      <c r="B34" s="26" t="s">
        <v>5</v>
      </c>
      <c r="C34" s="27">
        <v>2</v>
      </c>
      <c r="D34" s="27" t="s">
        <v>28</v>
      </c>
      <c r="E34" s="27">
        <v>5</v>
      </c>
      <c r="F34" s="43"/>
      <c r="G34" s="43"/>
      <c r="H34" s="44">
        <v>0.47222222222222227</v>
      </c>
      <c r="I34" s="30">
        <v>43725.472222222219</v>
      </c>
      <c r="J34" s="44">
        <v>0.4770833333333333</v>
      </c>
      <c r="K34" s="43">
        <v>14100</v>
      </c>
      <c r="L34" s="43">
        <v>5.5</v>
      </c>
      <c r="M34" s="43">
        <v>-67</v>
      </c>
    </row>
    <row r="35" spans="1:13" x14ac:dyDescent="0.45">
      <c r="A35" s="42">
        <v>43725</v>
      </c>
      <c r="B35" s="26" t="s">
        <v>5</v>
      </c>
      <c r="C35" s="27">
        <v>2</v>
      </c>
      <c r="D35" s="27" t="s">
        <v>28</v>
      </c>
      <c r="E35" s="27">
        <v>10</v>
      </c>
      <c r="F35" s="43"/>
      <c r="G35" s="43"/>
      <c r="H35" s="44">
        <v>0.47847222222222219</v>
      </c>
      <c r="I35" s="30">
        <v>43725.478472222225</v>
      </c>
      <c r="J35" s="44">
        <v>0.48055555555555557</v>
      </c>
      <c r="K35" s="43">
        <v>17400</v>
      </c>
      <c r="L35" s="43">
        <v>-7.7</v>
      </c>
      <c r="M35" s="43">
        <v>-110</v>
      </c>
    </row>
    <row r="36" spans="1:13" x14ac:dyDescent="0.45">
      <c r="A36" s="42">
        <v>43725</v>
      </c>
      <c r="B36" s="26" t="s">
        <v>5</v>
      </c>
      <c r="C36" s="27">
        <v>2</v>
      </c>
      <c r="D36" s="27" t="s">
        <v>28</v>
      </c>
      <c r="E36" s="27">
        <v>15</v>
      </c>
      <c r="F36" s="43"/>
      <c r="G36" s="43"/>
      <c r="H36" s="44">
        <v>0.48125000000000001</v>
      </c>
      <c r="I36" s="30">
        <v>43725.481249999997</v>
      </c>
      <c r="J36" s="44">
        <v>0.48402777777777778</v>
      </c>
      <c r="K36" s="43">
        <v>17900</v>
      </c>
      <c r="L36" s="43">
        <v>-11.5</v>
      </c>
      <c r="M36" s="43">
        <v>-131</v>
      </c>
    </row>
    <row r="37" spans="1:13" x14ac:dyDescent="0.45">
      <c r="A37" s="42">
        <v>43725</v>
      </c>
      <c r="B37" s="26" t="s">
        <v>5</v>
      </c>
      <c r="C37" s="27">
        <v>2</v>
      </c>
      <c r="D37" s="27" t="s">
        <v>28</v>
      </c>
      <c r="E37" s="27">
        <v>25</v>
      </c>
      <c r="F37" s="43"/>
      <c r="G37" s="43"/>
      <c r="H37" s="44">
        <v>0.48472222222222222</v>
      </c>
      <c r="I37" s="30">
        <v>43725.484722222223</v>
      </c>
      <c r="J37" s="44">
        <v>0.4916666666666667</v>
      </c>
      <c r="K37" s="43">
        <v>16100</v>
      </c>
      <c r="L37" s="43">
        <v>-17.5</v>
      </c>
      <c r="M37" s="43">
        <v>-159</v>
      </c>
    </row>
    <row r="38" spans="1:13" x14ac:dyDescent="0.45">
      <c r="A38" s="42">
        <v>43725</v>
      </c>
      <c r="B38" s="26" t="s">
        <v>5</v>
      </c>
      <c r="C38" s="27">
        <v>3</v>
      </c>
      <c r="D38" s="27" t="s">
        <v>30</v>
      </c>
      <c r="E38" s="27">
        <v>5</v>
      </c>
      <c r="F38" s="43"/>
      <c r="G38" s="43"/>
      <c r="H38" s="44">
        <v>0.50694444444444442</v>
      </c>
      <c r="I38" s="30">
        <v>43725.506944444445</v>
      </c>
      <c r="J38" s="44">
        <v>0.51388888888888895</v>
      </c>
      <c r="K38" s="43">
        <v>20500</v>
      </c>
      <c r="L38" s="43">
        <v>3.5</v>
      </c>
      <c r="M38" s="43">
        <v>-73.5</v>
      </c>
    </row>
    <row r="39" spans="1:13" x14ac:dyDescent="0.45">
      <c r="A39" s="42">
        <v>43725</v>
      </c>
      <c r="B39" s="26" t="s">
        <v>5</v>
      </c>
      <c r="C39" s="27">
        <v>3</v>
      </c>
      <c r="D39" s="27" t="s">
        <v>30</v>
      </c>
      <c r="E39" s="27">
        <v>10</v>
      </c>
      <c r="F39" s="43"/>
      <c r="G39" s="43"/>
      <c r="H39" s="44">
        <v>0.51388888888888895</v>
      </c>
      <c r="I39" s="30">
        <v>43725.513888888891</v>
      </c>
      <c r="J39" s="44">
        <v>0.51666666666666672</v>
      </c>
      <c r="K39" s="43">
        <v>20200</v>
      </c>
      <c r="L39" s="43">
        <v>-10.8</v>
      </c>
      <c r="M39" s="43">
        <v>-125.9</v>
      </c>
    </row>
    <row r="40" spans="1:13" x14ac:dyDescent="0.45">
      <c r="A40" s="42">
        <v>43725</v>
      </c>
      <c r="B40" s="26" t="s">
        <v>5</v>
      </c>
      <c r="C40" s="27">
        <v>3</v>
      </c>
      <c r="D40" s="27" t="s">
        <v>30</v>
      </c>
      <c r="E40" s="27">
        <v>15</v>
      </c>
      <c r="F40" s="43"/>
      <c r="G40" s="43"/>
      <c r="H40" s="44">
        <v>0.51736111111111105</v>
      </c>
      <c r="I40" s="30">
        <v>43725.517361111109</v>
      </c>
      <c r="J40" s="44">
        <v>0.52361111111111114</v>
      </c>
      <c r="K40" s="43">
        <v>20500</v>
      </c>
      <c r="L40" s="43">
        <v>-14.5</v>
      </c>
      <c r="M40" s="43">
        <v>-138</v>
      </c>
    </row>
    <row r="41" spans="1:13" x14ac:dyDescent="0.45">
      <c r="A41" s="42">
        <v>43725</v>
      </c>
      <c r="B41" s="26" t="s">
        <v>5</v>
      </c>
      <c r="C41" s="27">
        <v>3</v>
      </c>
      <c r="D41" s="27" t="s">
        <v>30</v>
      </c>
      <c r="E41" s="27">
        <v>25</v>
      </c>
      <c r="F41" s="43"/>
      <c r="G41" s="43"/>
      <c r="H41" s="44">
        <v>0.52361111111111114</v>
      </c>
      <c r="I41" s="30">
        <v>43725.523611111108</v>
      </c>
      <c r="J41" s="44">
        <v>0.52708333333333335</v>
      </c>
      <c r="K41" s="43">
        <v>18000</v>
      </c>
      <c r="L41" s="43">
        <v>-21.5</v>
      </c>
      <c r="M41" s="43">
        <v>-173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BE12-3749-481C-B2FC-B67AD163D9E2}">
  <dimension ref="A1:X30"/>
  <sheetViews>
    <sheetView topLeftCell="D1" workbookViewId="0">
      <selection activeCell="P3" sqref="P3"/>
    </sheetView>
  </sheetViews>
  <sheetFormatPr defaultRowHeight="18.5" x14ac:dyDescent="0.45"/>
  <cols>
    <col min="1" max="1" width="9.42578125" bestFit="1" customWidth="1"/>
    <col min="2" max="2" width="5.92578125" bestFit="1" customWidth="1"/>
    <col min="3" max="3" width="6.92578125" bestFit="1" customWidth="1"/>
    <col min="4" max="4" width="18.78515625" bestFit="1" customWidth="1"/>
    <col min="5" max="5" width="10.92578125" bestFit="1" customWidth="1"/>
    <col min="6" max="6" width="8.5" bestFit="1" customWidth="1"/>
    <col min="7" max="7" width="15.7109375" bestFit="1" customWidth="1"/>
    <col min="8" max="8" width="6.7109375" bestFit="1" customWidth="1"/>
    <col min="9" max="9" width="10.28515625" bestFit="1" customWidth="1"/>
    <col min="10" max="10" width="6.28515625" bestFit="1" customWidth="1"/>
    <col min="11" max="11" width="8.42578125" bestFit="1" customWidth="1"/>
    <col min="12" max="12" width="4" bestFit="1" customWidth="1"/>
    <col min="13" max="13" width="3.28515625" bestFit="1" customWidth="1"/>
    <col min="15" max="15" width="9.0703125" bestFit="1" customWidth="1"/>
    <col min="16" max="16" width="6" bestFit="1" customWidth="1"/>
    <col min="17" max="17" width="4.92578125" bestFit="1" customWidth="1"/>
    <col min="18" max="18" width="11.92578125" bestFit="1" customWidth="1"/>
    <col min="19" max="20" width="12.5" bestFit="1" customWidth="1"/>
    <col min="21" max="21" width="4.92578125" bestFit="1" customWidth="1"/>
    <col min="22" max="22" width="6.5703125" bestFit="1" customWidth="1"/>
    <col min="23" max="23" width="8.0703125" bestFit="1" customWidth="1"/>
    <col min="24" max="24" width="9.28515625" bestFit="1" customWidth="1"/>
  </cols>
  <sheetData>
    <row r="1" spans="1:24" ht="19" thickBot="1" x14ac:dyDescent="0.5">
      <c r="A1" s="1" t="s">
        <v>0</v>
      </c>
      <c r="B1" s="1" t="s">
        <v>1</v>
      </c>
      <c r="C1" s="1" t="s">
        <v>2</v>
      </c>
      <c r="D1" s="1" t="s">
        <v>3</v>
      </c>
      <c r="F1" s="22"/>
      <c r="G1" s="101" t="s">
        <v>52</v>
      </c>
      <c r="H1" s="101" t="s">
        <v>53</v>
      </c>
      <c r="I1" s="101" t="s">
        <v>55</v>
      </c>
      <c r="J1" s="101" t="s">
        <v>54</v>
      </c>
      <c r="O1" s="22"/>
      <c r="P1" s="101" t="s">
        <v>52</v>
      </c>
      <c r="Q1" s="101" t="s">
        <v>53</v>
      </c>
      <c r="R1" s="101" t="s">
        <v>55</v>
      </c>
      <c r="S1" s="101" t="s">
        <v>54</v>
      </c>
    </row>
    <row r="2" spans="1:24" ht="19" thickTop="1" x14ac:dyDescent="0.45">
      <c r="A2" s="4" t="s">
        <v>10</v>
      </c>
      <c r="B2" s="4" t="s">
        <v>5</v>
      </c>
      <c r="C2" s="4">
        <v>15</v>
      </c>
      <c r="D2" s="5">
        <v>43972</v>
      </c>
      <c r="F2" s="101" t="s">
        <v>56</v>
      </c>
      <c r="G2" s="22">
        <f>AVERAGE($L$23:$L$30)</f>
        <v>-19.087499999999999</v>
      </c>
      <c r="H2" s="22">
        <f>_xlfn.STDEV.S($L$23:$L$30)</f>
        <v>6.1415301722895501</v>
      </c>
      <c r="I2" s="22">
        <f>H2/SQRT(J2)</f>
        <v>2.1713588158438633</v>
      </c>
      <c r="J2" s="22">
        <f>COUNT($L$23:$L$30)</f>
        <v>8</v>
      </c>
      <c r="O2" s="101" t="s">
        <v>56</v>
      </c>
      <c r="P2" s="102">
        <f>AVERAGE(T7:T14)</f>
        <v>-8.6640839081624996</v>
      </c>
      <c r="Q2" s="102">
        <f>_xlfn.STDEV.S($T$7:T14)</f>
        <v>1.2296121884300073</v>
      </c>
      <c r="R2" s="22">
        <f>Q2/SQRT(S2)</f>
        <v>0.43473355833424449</v>
      </c>
      <c r="S2" s="102">
        <f>COUNT($T$7:T14)</f>
        <v>8</v>
      </c>
    </row>
    <row r="3" spans="1:24" x14ac:dyDescent="0.45">
      <c r="F3" s="101" t="s">
        <v>57</v>
      </c>
      <c r="G3" s="22">
        <f>AVERAGE($M$23:$M$30)</f>
        <v>-164.75</v>
      </c>
      <c r="H3" s="22">
        <f>_xlfn.STDEV.S($M$23:$M$30)</f>
        <v>18.28152853878159</v>
      </c>
      <c r="I3" s="22">
        <f>H3/SQRT(J3)</f>
        <v>6.4634964001139279</v>
      </c>
      <c r="J3" s="22">
        <f>COUNT($M$23:$M$30)</f>
        <v>8</v>
      </c>
      <c r="O3" s="101" t="s">
        <v>57</v>
      </c>
      <c r="P3" s="102">
        <f>AVERAGE(S7:S14)</f>
        <v>-109.2014499231</v>
      </c>
      <c r="Q3" s="102">
        <f>_xlfn.STDEV.S($S$7:S14)</f>
        <v>3.3086444191709035</v>
      </c>
      <c r="R3" s="22">
        <f>Q3/SQRT(S3)</f>
        <v>1.1697824526653857</v>
      </c>
      <c r="S3" s="102">
        <f>COUNT($S$7:S14)</f>
        <v>8</v>
      </c>
    </row>
    <row r="6" spans="1:24" x14ac:dyDescent="0.45">
      <c r="A6" s="19" t="s">
        <v>15</v>
      </c>
      <c r="B6" s="20" t="s">
        <v>16</v>
      </c>
      <c r="C6" s="20" t="s">
        <v>17</v>
      </c>
      <c r="D6" s="20" t="s">
        <v>18</v>
      </c>
      <c r="E6" s="20" t="s">
        <v>19</v>
      </c>
      <c r="F6" s="20" t="s">
        <v>20</v>
      </c>
      <c r="G6" s="20" t="s">
        <v>21</v>
      </c>
      <c r="H6" s="20" t="s">
        <v>22</v>
      </c>
      <c r="I6" s="20" t="s">
        <v>23</v>
      </c>
      <c r="J6" s="20" t="s">
        <v>24</v>
      </c>
      <c r="K6" s="20" t="s">
        <v>25</v>
      </c>
      <c r="L6" s="20" t="s">
        <v>26</v>
      </c>
      <c r="M6" s="20" t="s">
        <v>27</v>
      </c>
      <c r="O6" s="22" t="s">
        <v>33</v>
      </c>
      <c r="P6" s="22" t="s">
        <v>34</v>
      </c>
      <c r="Q6" s="22" t="s">
        <v>35</v>
      </c>
      <c r="R6" s="22" t="s">
        <v>36</v>
      </c>
      <c r="S6" s="22" t="s">
        <v>27</v>
      </c>
      <c r="T6" s="22" t="s">
        <v>26</v>
      </c>
      <c r="U6" s="22" t="s">
        <v>37</v>
      </c>
      <c r="V6" s="22" t="s">
        <v>38</v>
      </c>
      <c r="W6" s="22" t="s">
        <v>39</v>
      </c>
      <c r="X6" s="22" t="s">
        <v>40</v>
      </c>
    </row>
    <row r="7" spans="1:24" x14ac:dyDescent="0.45">
      <c r="A7" s="25">
        <v>43972</v>
      </c>
      <c r="B7" s="26" t="s">
        <v>5</v>
      </c>
      <c r="C7" s="27">
        <v>2</v>
      </c>
      <c r="D7" s="27" t="s">
        <v>28</v>
      </c>
      <c r="E7" s="47">
        <v>5</v>
      </c>
      <c r="F7" s="28"/>
      <c r="G7" s="28"/>
      <c r="H7" s="48">
        <v>0.40972222222222227</v>
      </c>
      <c r="I7" s="30">
        <v>43972.409722222219</v>
      </c>
      <c r="J7" s="48">
        <v>0.41388888888888892</v>
      </c>
      <c r="K7" s="27">
        <v>12500</v>
      </c>
      <c r="L7" s="27">
        <v>-11</v>
      </c>
      <c r="M7" s="27">
        <v>-137</v>
      </c>
      <c r="O7" s="60">
        <v>43972</v>
      </c>
      <c r="P7" s="22">
        <v>8</v>
      </c>
      <c r="Q7" s="58" t="s">
        <v>41</v>
      </c>
      <c r="R7" s="22"/>
      <c r="S7" s="22">
        <v>-107.8092238959</v>
      </c>
      <c r="T7" s="22">
        <v>-8.3942876641000002</v>
      </c>
      <c r="U7" s="22"/>
      <c r="V7" s="22"/>
      <c r="W7" s="22"/>
      <c r="X7" s="22"/>
    </row>
    <row r="8" spans="1:24" x14ac:dyDescent="0.45">
      <c r="A8" s="25">
        <v>43972</v>
      </c>
      <c r="B8" s="26" t="s">
        <v>5</v>
      </c>
      <c r="C8" s="27">
        <v>2</v>
      </c>
      <c r="D8" s="27" t="s">
        <v>28</v>
      </c>
      <c r="E8" s="47">
        <v>10</v>
      </c>
      <c r="F8" s="28"/>
      <c r="G8" s="28"/>
      <c r="H8" s="48">
        <v>0.41388888888888892</v>
      </c>
      <c r="I8" s="30">
        <v>43972.413888888892</v>
      </c>
      <c r="J8" s="48">
        <v>0.41805555555555557</v>
      </c>
      <c r="K8" s="27">
        <v>17870</v>
      </c>
      <c r="L8" s="27">
        <v>-15.2</v>
      </c>
      <c r="M8" s="27">
        <v>-152</v>
      </c>
      <c r="O8" s="60">
        <v>43972</v>
      </c>
      <c r="P8" s="22">
        <v>7</v>
      </c>
      <c r="Q8" s="58" t="s">
        <v>41</v>
      </c>
      <c r="R8" s="22"/>
      <c r="S8" s="22">
        <v>-111.6181839342</v>
      </c>
      <c r="T8" s="22">
        <v>-8.9836890720000007</v>
      </c>
      <c r="U8" s="22"/>
      <c r="V8" s="22"/>
      <c r="W8" s="22"/>
      <c r="X8" s="22"/>
    </row>
    <row r="9" spans="1:24" x14ac:dyDescent="0.45">
      <c r="A9" s="25">
        <v>43972</v>
      </c>
      <c r="B9" s="26" t="s">
        <v>5</v>
      </c>
      <c r="C9" s="27">
        <v>2</v>
      </c>
      <c r="D9" s="27" t="s">
        <v>28</v>
      </c>
      <c r="E9" s="47">
        <v>15</v>
      </c>
      <c r="F9" s="28"/>
      <c r="G9" s="28"/>
      <c r="H9" s="48">
        <v>0.4465277777777778</v>
      </c>
      <c r="I9" s="30">
        <v>43972.446527777778</v>
      </c>
      <c r="J9" s="48">
        <v>0.4513888888888889</v>
      </c>
      <c r="K9" s="27">
        <v>12000</v>
      </c>
      <c r="L9" s="27">
        <v>-22.6</v>
      </c>
      <c r="M9" s="27">
        <v>-177</v>
      </c>
      <c r="O9" s="60">
        <v>43972</v>
      </c>
      <c r="P9" s="22">
        <v>6</v>
      </c>
      <c r="Q9" s="58" t="s">
        <v>41</v>
      </c>
      <c r="R9" s="22"/>
      <c r="S9" s="22">
        <v>-109.7945413079</v>
      </c>
      <c r="T9" s="22">
        <v>-8.6299458245</v>
      </c>
      <c r="U9" s="22"/>
      <c r="V9" s="22"/>
      <c r="W9" s="22"/>
      <c r="X9" s="22"/>
    </row>
    <row r="10" spans="1:24" x14ac:dyDescent="0.45">
      <c r="A10" s="25">
        <v>43972</v>
      </c>
      <c r="B10" s="26" t="s">
        <v>5</v>
      </c>
      <c r="C10" s="27">
        <v>2</v>
      </c>
      <c r="D10" s="27" t="s">
        <v>28</v>
      </c>
      <c r="E10" s="47">
        <v>25</v>
      </c>
      <c r="F10" s="28"/>
      <c r="G10" s="28"/>
      <c r="H10" s="48">
        <v>0.4513888888888889</v>
      </c>
      <c r="I10" s="30">
        <v>43972.451388888891</v>
      </c>
      <c r="J10" s="48">
        <v>0.45416666666666666</v>
      </c>
      <c r="K10" s="27">
        <v>18500</v>
      </c>
      <c r="L10" s="27">
        <v>-23.8</v>
      </c>
      <c r="M10" s="27">
        <v>-183</v>
      </c>
      <c r="O10" s="60">
        <v>43972</v>
      </c>
      <c r="P10" s="22">
        <v>5</v>
      </c>
      <c r="Q10" s="58" t="s">
        <v>41</v>
      </c>
      <c r="R10" s="22"/>
      <c r="S10" s="22">
        <v>-104.5709573683</v>
      </c>
      <c r="T10" s="22">
        <v>-8.5231757737000002</v>
      </c>
      <c r="U10" s="22"/>
      <c r="V10" s="22"/>
      <c r="W10" s="22"/>
      <c r="X10" s="22"/>
    </row>
    <row r="11" spans="1:24" x14ac:dyDescent="0.45">
      <c r="A11" s="19">
        <v>43972</v>
      </c>
      <c r="B11" s="21" t="s">
        <v>5</v>
      </c>
      <c r="C11" s="20">
        <v>2</v>
      </c>
      <c r="D11" s="20" t="s">
        <v>28</v>
      </c>
      <c r="E11" s="45">
        <v>40</v>
      </c>
      <c r="F11" s="22"/>
      <c r="G11" s="22"/>
      <c r="H11" s="46">
        <v>0.45416666666666666</v>
      </c>
      <c r="I11" s="24">
        <v>43972.45416666667</v>
      </c>
      <c r="J11" s="46">
        <v>0.45833333333333331</v>
      </c>
      <c r="K11" s="20">
        <v>18300</v>
      </c>
      <c r="L11" s="20">
        <v>-22.2</v>
      </c>
      <c r="M11" s="20">
        <v>-177</v>
      </c>
      <c r="O11" s="60">
        <v>43972</v>
      </c>
      <c r="P11" s="22">
        <v>4</v>
      </c>
      <c r="Q11" s="58" t="s">
        <v>41</v>
      </c>
      <c r="R11" s="22"/>
      <c r="S11" s="22">
        <v>-115.0403093104</v>
      </c>
      <c r="T11" s="22">
        <v>-10.2923312016</v>
      </c>
      <c r="U11" s="22"/>
      <c r="V11" s="22"/>
      <c r="W11" s="22"/>
      <c r="X11" s="22"/>
    </row>
    <row r="12" spans="1:24" x14ac:dyDescent="0.45">
      <c r="A12" s="19">
        <v>43972</v>
      </c>
      <c r="B12" s="21" t="s">
        <v>5</v>
      </c>
      <c r="C12" s="20">
        <v>2</v>
      </c>
      <c r="D12" s="20" t="s">
        <v>28</v>
      </c>
      <c r="E12" s="45">
        <v>60</v>
      </c>
      <c r="F12" s="22"/>
      <c r="G12" s="22"/>
      <c r="H12" s="46">
        <v>0.45833333333333331</v>
      </c>
      <c r="I12" s="24">
        <v>43972.458333333336</v>
      </c>
      <c r="J12" s="46">
        <v>0.46319444444444446</v>
      </c>
      <c r="K12" s="20">
        <v>18800</v>
      </c>
      <c r="L12" s="20">
        <v>-21.5</v>
      </c>
      <c r="M12" s="20">
        <v>-174</v>
      </c>
      <c r="O12" s="60">
        <v>43972</v>
      </c>
      <c r="P12" s="22">
        <v>3</v>
      </c>
      <c r="Q12" s="58" t="s">
        <v>41</v>
      </c>
      <c r="R12" s="22"/>
      <c r="S12" s="22">
        <v>-106.4628576441</v>
      </c>
      <c r="T12" s="22">
        <v>-6.1736345832000001</v>
      </c>
      <c r="U12" s="22"/>
      <c r="V12" s="22"/>
      <c r="W12" s="22"/>
      <c r="X12" s="22"/>
    </row>
    <row r="13" spans="1:24" x14ac:dyDescent="0.45">
      <c r="A13" s="19">
        <v>43972</v>
      </c>
      <c r="B13" s="21" t="s">
        <v>5</v>
      </c>
      <c r="C13" s="20">
        <v>2</v>
      </c>
      <c r="D13" s="20" t="s">
        <v>28</v>
      </c>
      <c r="E13" s="45">
        <v>100</v>
      </c>
      <c r="F13" s="22"/>
      <c r="G13" s="22"/>
      <c r="H13" s="46">
        <v>0.46319444444444446</v>
      </c>
      <c r="I13" s="24">
        <v>43972.463194444441</v>
      </c>
      <c r="J13" s="22" t="s">
        <v>32</v>
      </c>
      <c r="K13" s="20">
        <v>17800</v>
      </c>
      <c r="L13" s="20">
        <v>-22.2</v>
      </c>
      <c r="M13" s="20">
        <v>-173</v>
      </c>
      <c r="O13" s="60">
        <v>43972</v>
      </c>
      <c r="P13" s="22">
        <v>2</v>
      </c>
      <c r="Q13" s="58" t="s">
        <v>41</v>
      </c>
      <c r="R13" s="22"/>
      <c r="S13" s="22">
        <v>-107.5052200353</v>
      </c>
      <c r="T13" s="22">
        <v>-8.4344020080999993</v>
      </c>
      <c r="U13" s="22"/>
      <c r="V13" s="22"/>
      <c r="W13" s="22"/>
      <c r="X13" s="22"/>
    </row>
    <row r="14" spans="1:24" x14ac:dyDescent="0.45">
      <c r="A14" s="25">
        <v>43972</v>
      </c>
      <c r="B14" s="26" t="s">
        <v>5</v>
      </c>
      <c r="C14" s="27">
        <v>3</v>
      </c>
      <c r="D14" s="27" t="s">
        <v>30</v>
      </c>
      <c r="E14" s="47">
        <v>5</v>
      </c>
      <c r="F14" s="28"/>
      <c r="G14" s="28"/>
      <c r="H14" s="48">
        <v>0.48402777777777778</v>
      </c>
      <c r="I14" s="30">
        <v>43972.484027777777</v>
      </c>
      <c r="J14" s="28"/>
      <c r="K14" s="27">
        <v>20600</v>
      </c>
      <c r="L14" s="27">
        <v>-9.8000000000000007</v>
      </c>
      <c r="M14" s="27">
        <v>-143</v>
      </c>
      <c r="O14" s="60">
        <v>43972</v>
      </c>
      <c r="P14" s="22">
        <v>1</v>
      </c>
      <c r="Q14" s="58" t="s">
        <v>41</v>
      </c>
      <c r="R14" s="22"/>
      <c r="S14" s="22">
        <v>-110.8103058887</v>
      </c>
      <c r="T14" s="22">
        <v>-9.8812051381000003</v>
      </c>
      <c r="U14" s="22"/>
      <c r="V14" s="22"/>
      <c r="W14" s="22"/>
      <c r="X14" s="22"/>
    </row>
    <row r="15" spans="1:24" x14ac:dyDescent="0.45">
      <c r="A15" s="25">
        <v>43972</v>
      </c>
      <c r="B15" s="26" t="s">
        <v>5</v>
      </c>
      <c r="C15" s="27">
        <v>3</v>
      </c>
      <c r="D15" s="27" t="s">
        <v>30</v>
      </c>
      <c r="E15" s="47">
        <v>10</v>
      </c>
      <c r="F15" s="28"/>
      <c r="G15" s="28"/>
      <c r="H15" s="48">
        <v>0.48680555555555555</v>
      </c>
      <c r="I15" s="30">
        <v>43972.486805555556</v>
      </c>
      <c r="J15" s="28"/>
      <c r="K15" s="27">
        <v>2000</v>
      </c>
      <c r="L15" s="27">
        <v>-22.1</v>
      </c>
      <c r="M15" s="27">
        <v>-172</v>
      </c>
    </row>
    <row r="16" spans="1:24" x14ac:dyDescent="0.45">
      <c r="A16" s="25">
        <v>43972</v>
      </c>
      <c r="B16" s="26" t="s">
        <v>5</v>
      </c>
      <c r="C16" s="27">
        <v>3</v>
      </c>
      <c r="D16" s="27" t="s">
        <v>30</v>
      </c>
      <c r="E16" s="47">
        <v>15</v>
      </c>
      <c r="F16" s="28"/>
      <c r="G16" s="28"/>
      <c r="H16" s="48">
        <v>0.48958333333333331</v>
      </c>
      <c r="I16" s="30">
        <v>43972.489583333336</v>
      </c>
      <c r="J16" s="48">
        <v>0.49444444444444446</v>
      </c>
      <c r="K16" s="27">
        <v>20700</v>
      </c>
      <c r="L16" s="27">
        <v>-22.8</v>
      </c>
      <c r="M16" s="27">
        <v>-170</v>
      </c>
    </row>
    <row r="17" spans="1:13" x14ac:dyDescent="0.45">
      <c r="A17" s="25">
        <v>43972</v>
      </c>
      <c r="B17" s="26" t="s">
        <v>5</v>
      </c>
      <c r="C17" s="27">
        <v>3</v>
      </c>
      <c r="D17" s="27" t="s">
        <v>30</v>
      </c>
      <c r="E17" s="47">
        <v>25</v>
      </c>
      <c r="F17" s="28"/>
      <c r="G17" s="28"/>
      <c r="H17" s="48">
        <v>0.49444444444444446</v>
      </c>
      <c r="I17" s="30">
        <v>43972.494444444441</v>
      </c>
      <c r="J17" s="28"/>
      <c r="K17" s="27">
        <v>20600</v>
      </c>
      <c r="L17" s="27">
        <v>-25.4</v>
      </c>
      <c r="M17" s="27">
        <v>-184</v>
      </c>
    </row>
    <row r="18" spans="1:13" x14ac:dyDescent="0.45">
      <c r="A18" s="19">
        <v>43972</v>
      </c>
      <c r="B18" s="21" t="s">
        <v>5</v>
      </c>
      <c r="C18" s="20">
        <v>3</v>
      </c>
      <c r="D18" s="20" t="s">
        <v>30</v>
      </c>
      <c r="E18" s="45">
        <v>40</v>
      </c>
      <c r="F18" s="22"/>
      <c r="G18" s="22"/>
      <c r="H18" s="46">
        <v>0.49861111111111112</v>
      </c>
      <c r="I18" s="24">
        <v>43972.498611111114</v>
      </c>
      <c r="J18" s="22"/>
      <c r="K18" s="20">
        <v>20600</v>
      </c>
      <c r="L18" s="20">
        <v>-22.7</v>
      </c>
      <c r="M18" s="20">
        <v>-173</v>
      </c>
    </row>
    <row r="19" spans="1:13" x14ac:dyDescent="0.45">
      <c r="A19" s="19">
        <v>43972</v>
      </c>
      <c r="B19" s="21" t="s">
        <v>5</v>
      </c>
      <c r="C19" s="20">
        <v>3</v>
      </c>
      <c r="D19" s="20" t="s">
        <v>30</v>
      </c>
      <c r="E19" s="45">
        <v>60</v>
      </c>
      <c r="F19" s="22"/>
      <c r="G19" s="22"/>
      <c r="H19" s="46">
        <v>0.50277777777777777</v>
      </c>
      <c r="I19" s="24">
        <v>43972.50277777778</v>
      </c>
      <c r="J19" s="22"/>
      <c r="K19" s="20">
        <v>20600</v>
      </c>
      <c r="L19" s="20">
        <v>-20.3</v>
      </c>
      <c r="M19" s="20">
        <v>-167</v>
      </c>
    </row>
    <row r="20" spans="1:13" x14ac:dyDescent="0.45">
      <c r="A20" s="19">
        <v>43972</v>
      </c>
      <c r="B20" s="21" t="s">
        <v>5</v>
      </c>
      <c r="C20" s="20">
        <v>3</v>
      </c>
      <c r="D20" s="20" t="s">
        <v>30</v>
      </c>
      <c r="E20" s="45">
        <v>100</v>
      </c>
      <c r="F20" s="22"/>
      <c r="G20" s="22"/>
      <c r="H20" s="46">
        <v>0.50694444444444442</v>
      </c>
      <c r="I20" s="24">
        <v>43972.506944444445</v>
      </c>
      <c r="J20" s="22" t="s">
        <v>32</v>
      </c>
      <c r="K20" s="20">
        <v>18000</v>
      </c>
      <c r="L20" s="20">
        <v>-21.9</v>
      </c>
      <c r="M20" s="20">
        <v>-174</v>
      </c>
    </row>
    <row r="22" spans="1:13" x14ac:dyDescent="0.45">
      <c r="A22" s="19" t="s">
        <v>15</v>
      </c>
      <c r="B22" s="20" t="s">
        <v>16</v>
      </c>
      <c r="C22" s="20" t="s">
        <v>17</v>
      </c>
      <c r="D22" s="20" t="s">
        <v>18</v>
      </c>
      <c r="E22" s="20" t="s">
        <v>19</v>
      </c>
      <c r="F22" s="20" t="s">
        <v>20</v>
      </c>
      <c r="G22" s="20" t="s">
        <v>21</v>
      </c>
      <c r="H22" s="20" t="s">
        <v>22</v>
      </c>
      <c r="I22" s="20" t="s">
        <v>23</v>
      </c>
      <c r="J22" s="20" t="s">
        <v>24</v>
      </c>
      <c r="K22" s="20" t="s">
        <v>25</v>
      </c>
      <c r="L22" s="20" t="s">
        <v>26</v>
      </c>
      <c r="M22" s="20" t="s">
        <v>27</v>
      </c>
    </row>
    <row r="23" spans="1:13" x14ac:dyDescent="0.45">
      <c r="A23" s="25">
        <v>43972</v>
      </c>
      <c r="B23" s="26" t="s">
        <v>5</v>
      </c>
      <c r="C23" s="27">
        <v>2</v>
      </c>
      <c r="D23" s="27" t="s">
        <v>28</v>
      </c>
      <c r="E23" s="47">
        <v>5</v>
      </c>
      <c r="F23" s="28"/>
      <c r="G23" s="28"/>
      <c r="H23" s="48">
        <v>0.40972222222222227</v>
      </c>
      <c r="I23" s="30">
        <v>43972.409722222219</v>
      </c>
      <c r="J23" s="48">
        <v>0.41388888888888892</v>
      </c>
      <c r="K23" s="27">
        <v>12500</v>
      </c>
      <c r="L23" s="27">
        <v>-11</v>
      </c>
      <c r="M23" s="27">
        <v>-137</v>
      </c>
    </row>
    <row r="24" spans="1:13" x14ac:dyDescent="0.45">
      <c r="A24" s="25">
        <v>43972</v>
      </c>
      <c r="B24" s="26" t="s">
        <v>5</v>
      </c>
      <c r="C24" s="27">
        <v>2</v>
      </c>
      <c r="D24" s="27" t="s">
        <v>28</v>
      </c>
      <c r="E24" s="47">
        <v>10</v>
      </c>
      <c r="F24" s="28"/>
      <c r="G24" s="28"/>
      <c r="H24" s="48">
        <v>0.41388888888888892</v>
      </c>
      <c r="I24" s="30">
        <v>43972.413888888892</v>
      </c>
      <c r="J24" s="48">
        <v>0.41805555555555557</v>
      </c>
      <c r="K24" s="27">
        <v>17870</v>
      </c>
      <c r="L24" s="27">
        <v>-15.2</v>
      </c>
      <c r="M24" s="27">
        <v>-152</v>
      </c>
    </row>
    <row r="25" spans="1:13" x14ac:dyDescent="0.45">
      <c r="A25" s="25">
        <v>43972</v>
      </c>
      <c r="B25" s="26" t="s">
        <v>5</v>
      </c>
      <c r="C25" s="27">
        <v>2</v>
      </c>
      <c r="D25" s="27" t="s">
        <v>28</v>
      </c>
      <c r="E25" s="47">
        <v>15</v>
      </c>
      <c r="F25" s="28"/>
      <c r="G25" s="28"/>
      <c r="H25" s="48">
        <v>0.4465277777777778</v>
      </c>
      <c r="I25" s="30">
        <v>43972.446527777778</v>
      </c>
      <c r="J25" s="48">
        <v>0.4513888888888889</v>
      </c>
      <c r="K25" s="27">
        <v>12000</v>
      </c>
      <c r="L25" s="27">
        <v>-22.6</v>
      </c>
      <c r="M25" s="27">
        <v>-177</v>
      </c>
    </row>
    <row r="26" spans="1:13" x14ac:dyDescent="0.45">
      <c r="A26" s="25">
        <v>43972</v>
      </c>
      <c r="B26" s="26" t="s">
        <v>5</v>
      </c>
      <c r="C26" s="27">
        <v>2</v>
      </c>
      <c r="D26" s="27" t="s">
        <v>28</v>
      </c>
      <c r="E26" s="47">
        <v>25</v>
      </c>
      <c r="F26" s="28"/>
      <c r="G26" s="28"/>
      <c r="H26" s="48">
        <v>0.4513888888888889</v>
      </c>
      <c r="I26" s="30">
        <v>43972.451388888891</v>
      </c>
      <c r="J26" s="48">
        <v>0.45416666666666666</v>
      </c>
      <c r="K26" s="27">
        <v>18500</v>
      </c>
      <c r="L26" s="27">
        <v>-23.8</v>
      </c>
      <c r="M26" s="27">
        <v>-183</v>
      </c>
    </row>
    <row r="27" spans="1:13" x14ac:dyDescent="0.45">
      <c r="A27" s="25">
        <v>43972</v>
      </c>
      <c r="B27" s="26" t="s">
        <v>5</v>
      </c>
      <c r="C27" s="27">
        <v>3</v>
      </c>
      <c r="D27" s="27" t="s">
        <v>30</v>
      </c>
      <c r="E27" s="47">
        <v>5</v>
      </c>
      <c r="F27" s="28"/>
      <c r="G27" s="28"/>
      <c r="H27" s="48">
        <v>0.48402777777777778</v>
      </c>
      <c r="I27" s="30">
        <v>43972.484027777777</v>
      </c>
      <c r="J27" s="28"/>
      <c r="K27" s="27">
        <v>20600</v>
      </c>
      <c r="L27" s="27">
        <v>-9.8000000000000007</v>
      </c>
      <c r="M27" s="27">
        <v>-143</v>
      </c>
    </row>
    <row r="28" spans="1:13" x14ac:dyDescent="0.45">
      <c r="A28" s="25">
        <v>43972</v>
      </c>
      <c r="B28" s="26" t="s">
        <v>5</v>
      </c>
      <c r="C28" s="27">
        <v>3</v>
      </c>
      <c r="D28" s="27" t="s">
        <v>30</v>
      </c>
      <c r="E28" s="47">
        <v>10</v>
      </c>
      <c r="F28" s="28"/>
      <c r="G28" s="28"/>
      <c r="H28" s="48">
        <v>0.48680555555555555</v>
      </c>
      <c r="I28" s="30">
        <v>43972.486805555556</v>
      </c>
      <c r="J28" s="28"/>
      <c r="K28" s="27">
        <v>2000</v>
      </c>
      <c r="L28" s="27">
        <v>-22.1</v>
      </c>
      <c r="M28" s="27">
        <v>-172</v>
      </c>
    </row>
    <row r="29" spans="1:13" x14ac:dyDescent="0.45">
      <c r="A29" s="25">
        <v>43972</v>
      </c>
      <c r="B29" s="26" t="s">
        <v>5</v>
      </c>
      <c r="C29" s="27">
        <v>3</v>
      </c>
      <c r="D29" s="27" t="s">
        <v>30</v>
      </c>
      <c r="E29" s="47">
        <v>15</v>
      </c>
      <c r="F29" s="28"/>
      <c r="G29" s="28"/>
      <c r="H29" s="48">
        <v>0.48958333333333331</v>
      </c>
      <c r="I29" s="30">
        <v>43972.489583333336</v>
      </c>
      <c r="J29" s="48">
        <v>0.49444444444444446</v>
      </c>
      <c r="K29" s="27">
        <v>20700</v>
      </c>
      <c r="L29" s="27">
        <v>-22.8</v>
      </c>
      <c r="M29" s="27">
        <v>-170</v>
      </c>
    </row>
    <row r="30" spans="1:13" x14ac:dyDescent="0.45">
      <c r="A30" s="25">
        <v>43972</v>
      </c>
      <c r="B30" s="26" t="s">
        <v>5</v>
      </c>
      <c r="C30" s="27">
        <v>3</v>
      </c>
      <c r="D30" s="27" t="s">
        <v>30</v>
      </c>
      <c r="E30" s="47">
        <v>25</v>
      </c>
      <c r="F30" s="28"/>
      <c r="G30" s="28"/>
      <c r="H30" s="48">
        <v>0.49444444444444446</v>
      </c>
      <c r="I30" s="30">
        <v>43972.494444444441</v>
      </c>
      <c r="J30" s="28"/>
      <c r="K30" s="27">
        <v>20600</v>
      </c>
      <c r="L30" s="27">
        <v>-25.4</v>
      </c>
      <c r="M30" s="27">
        <v>-184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25589-E7C1-4CC6-BF32-2B5F1BEEEE9B}">
  <dimension ref="A1:X31"/>
  <sheetViews>
    <sheetView topLeftCell="D1" workbookViewId="0">
      <selection activeCell="P3" sqref="P3"/>
    </sheetView>
  </sheetViews>
  <sheetFormatPr defaultRowHeight="18.5" x14ac:dyDescent="0.45"/>
  <cols>
    <col min="1" max="1" width="9.42578125" bestFit="1" customWidth="1"/>
    <col min="2" max="2" width="5.92578125" bestFit="1" customWidth="1"/>
    <col min="3" max="3" width="6.92578125" bestFit="1" customWidth="1"/>
    <col min="4" max="4" width="17.28515625" bestFit="1" customWidth="1"/>
    <col min="5" max="5" width="10.92578125" bestFit="1" customWidth="1"/>
    <col min="6" max="6" width="8.5" bestFit="1" customWidth="1"/>
    <col min="7" max="7" width="15.7109375" bestFit="1" customWidth="1"/>
    <col min="8" max="8" width="6.7109375" bestFit="1" customWidth="1"/>
    <col min="9" max="9" width="9.5703125" bestFit="1" customWidth="1"/>
    <col min="10" max="10" width="6.28515625" bestFit="1" customWidth="1"/>
    <col min="11" max="11" width="8.42578125" bestFit="1" customWidth="1"/>
    <col min="12" max="12" width="4" bestFit="1" customWidth="1"/>
    <col min="13" max="13" width="3.28515625" bestFit="1" customWidth="1"/>
    <col min="15" max="15" width="8.5" bestFit="1" customWidth="1"/>
    <col min="16" max="16" width="6" bestFit="1" customWidth="1"/>
    <col min="17" max="17" width="4.92578125" bestFit="1" customWidth="1"/>
    <col min="18" max="18" width="11.92578125" bestFit="1" customWidth="1"/>
    <col min="19" max="20" width="12.5" bestFit="1" customWidth="1"/>
    <col min="21" max="21" width="4.92578125" bestFit="1" customWidth="1"/>
    <col min="22" max="22" width="6.5703125" bestFit="1" customWidth="1"/>
    <col min="23" max="23" width="8.0703125" bestFit="1" customWidth="1"/>
    <col min="24" max="24" width="9.28515625" bestFit="1" customWidth="1"/>
  </cols>
  <sheetData>
    <row r="1" spans="1:24" ht="19" thickBot="1" x14ac:dyDescent="0.5">
      <c r="A1" s="1" t="s">
        <v>0</v>
      </c>
      <c r="B1" s="1" t="s">
        <v>1</v>
      </c>
      <c r="C1" s="1" t="s">
        <v>2</v>
      </c>
      <c r="D1" s="1" t="s">
        <v>3</v>
      </c>
      <c r="F1" s="22"/>
      <c r="G1" s="101" t="s">
        <v>52</v>
      </c>
      <c r="H1" s="101" t="s">
        <v>53</v>
      </c>
      <c r="I1" s="101" t="s">
        <v>55</v>
      </c>
      <c r="J1" s="101" t="s">
        <v>54</v>
      </c>
      <c r="O1" s="22"/>
      <c r="P1" s="101" t="s">
        <v>52</v>
      </c>
      <c r="Q1" s="101" t="s">
        <v>53</v>
      </c>
      <c r="R1" s="101" t="s">
        <v>55</v>
      </c>
      <c r="S1" s="101" t="s">
        <v>54</v>
      </c>
    </row>
    <row r="2" spans="1:24" ht="19" thickTop="1" x14ac:dyDescent="0.45">
      <c r="A2" s="4" t="s">
        <v>11</v>
      </c>
      <c r="B2" s="4" t="s">
        <v>5</v>
      </c>
      <c r="C2" s="4">
        <v>15</v>
      </c>
      <c r="D2" s="5">
        <v>43986</v>
      </c>
      <c r="F2" s="101" t="s">
        <v>56</v>
      </c>
      <c r="G2" s="22">
        <f>AVERAGE($L$22:$L$28,F30:F31)</f>
        <v>-13.045381062422223</v>
      </c>
      <c r="H2" s="22">
        <f>_xlfn.STDEV.S($L$22:$L$28,F30:F31)</f>
        <v>6.811940517310437</v>
      </c>
      <c r="I2" s="22">
        <f>H2/SQRT(J2)</f>
        <v>2.2706468391034789</v>
      </c>
      <c r="J2" s="22">
        <f>COUNT($L$22:$L$28,F30:F31)</f>
        <v>9</v>
      </c>
      <c r="O2" s="101" t="s">
        <v>56</v>
      </c>
      <c r="P2" s="102">
        <f>AVERAGE(T7:T14)</f>
        <v>-7.5870178144250007</v>
      </c>
      <c r="Q2" s="102">
        <f>_xlfn.STDEV.S($T$7:T14)</f>
        <v>1.3885078364852157</v>
      </c>
      <c r="R2" s="22">
        <f>Q2/SQRT(S2)</f>
        <v>0.49091165345467891</v>
      </c>
      <c r="S2" s="102">
        <f>COUNT($T$7:T14)</f>
        <v>8</v>
      </c>
    </row>
    <row r="3" spans="1:24" x14ac:dyDescent="0.45">
      <c r="F3" s="101" t="s">
        <v>57</v>
      </c>
      <c r="G3" s="22">
        <f>AVERAGE($M$22:$M$28,E30:E31)</f>
        <v>-137.05049690558889</v>
      </c>
      <c r="H3" s="22">
        <f>_xlfn.STDEV.S($M$22:$M$28,E30:E31)</f>
        <v>25.99011917493257</v>
      </c>
      <c r="I3" s="22">
        <f>H3/SQRT(J3)</f>
        <v>8.6633730583108566</v>
      </c>
      <c r="J3" s="22">
        <f>COUNT($M$22:$M$28,E30:E31)</f>
        <v>9</v>
      </c>
      <c r="O3" s="101" t="s">
        <v>57</v>
      </c>
      <c r="P3" s="102">
        <f>AVERAGE(S7:S14)</f>
        <v>-109.20773487735001</v>
      </c>
      <c r="Q3" s="102">
        <f>_xlfn.STDEV.S($S$7:S14)</f>
        <v>4.1943429218113986</v>
      </c>
      <c r="R3" s="22">
        <f>Q3/SQRT(S3)</f>
        <v>1.4829241613173183</v>
      </c>
      <c r="S3" s="102">
        <f>COUNT($S$7:S14)</f>
        <v>8</v>
      </c>
    </row>
    <row r="6" spans="1:24" x14ac:dyDescent="0.45">
      <c r="A6" s="19" t="s">
        <v>15</v>
      </c>
      <c r="B6" s="20" t="s">
        <v>16</v>
      </c>
      <c r="C6" s="20" t="s">
        <v>17</v>
      </c>
      <c r="D6" s="20" t="s">
        <v>18</v>
      </c>
      <c r="E6" s="20" t="s">
        <v>19</v>
      </c>
      <c r="F6" s="20" t="s">
        <v>20</v>
      </c>
      <c r="G6" s="20" t="s">
        <v>21</v>
      </c>
      <c r="H6" s="20" t="s">
        <v>22</v>
      </c>
      <c r="I6" s="20" t="s">
        <v>23</v>
      </c>
      <c r="J6" s="20" t="s">
        <v>24</v>
      </c>
      <c r="K6" s="20" t="s">
        <v>25</v>
      </c>
      <c r="L6" s="20" t="s">
        <v>26</v>
      </c>
      <c r="M6" s="20" t="s">
        <v>27</v>
      </c>
      <c r="O6" s="22" t="s">
        <v>33</v>
      </c>
      <c r="P6" s="22" t="s">
        <v>34</v>
      </c>
      <c r="Q6" s="22" t="s">
        <v>35</v>
      </c>
      <c r="R6" s="22" t="s">
        <v>36</v>
      </c>
      <c r="S6" s="22" t="s">
        <v>27</v>
      </c>
      <c r="T6" s="22" t="s">
        <v>26</v>
      </c>
      <c r="U6" s="22" t="s">
        <v>37</v>
      </c>
      <c r="V6" s="22" t="s">
        <v>38</v>
      </c>
      <c r="W6" s="22" t="s">
        <v>39</v>
      </c>
      <c r="X6" s="22" t="s">
        <v>40</v>
      </c>
    </row>
    <row r="7" spans="1:24" x14ac:dyDescent="0.45">
      <c r="A7" s="25">
        <v>43986</v>
      </c>
      <c r="B7" s="26" t="s">
        <v>5</v>
      </c>
      <c r="C7" s="26">
        <v>2</v>
      </c>
      <c r="D7" s="26" t="s">
        <v>28</v>
      </c>
      <c r="E7" s="47">
        <v>5</v>
      </c>
      <c r="F7" s="28"/>
      <c r="G7" s="28"/>
      <c r="H7" s="48">
        <v>0.41041666666666665</v>
      </c>
      <c r="I7" s="30">
        <v>43986.410416666666</v>
      </c>
      <c r="J7" s="28"/>
      <c r="K7" s="27">
        <v>18000</v>
      </c>
      <c r="L7" s="27">
        <v>-2.8</v>
      </c>
      <c r="M7" s="27">
        <v>-116</v>
      </c>
      <c r="O7" s="60">
        <v>43986</v>
      </c>
      <c r="P7" s="22">
        <v>5</v>
      </c>
      <c r="Q7" s="58" t="s">
        <v>41</v>
      </c>
      <c r="R7" s="22"/>
      <c r="S7" s="22">
        <v>-109.49714947770001</v>
      </c>
      <c r="T7" s="22">
        <v>-8.5888896620999997</v>
      </c>
      <c r="U7" s="22"/>
      <c r="V7" s="22"/>
      <c r="W7" s="22"/>
      <c r="X7" s="22"/>
    </row>
    <row r="8" spans="1:24" x14ac:dyDescent="0.45">
      <c r="A8" s="25">
        <v>43986</v>
      </c>
      <c r="B8" s="26" t="s">
        <v>5</v>
      </c>
      <c r="C8" s="26">
        <v>2</v>
      </c>
      <c r="D8" s="26" t="s">
        <v>28</v>
      </c>
      <c r="E8" s="47">
        <v>10</v>
      </c>
      <c r="F8" s="28"/>
      <c r="G8" s="28"/>
      <c r="H8" s="48">
        <v>0.4145833333333333</v>
      </c>
      <c r="I8" s="30">
        <v>43986.414583333331</v>
      </c>
      <c r="J8" s="28"/>
      <c r="K8" s="28"/>
      <c r="L8" s="27">
        <v>-10.6</v>
      </c>
      <c r="M8" s="27">
        <v>-134</v>
      </c>
      <c r="O8" s="60">
        <v>43986</v>
      </c>
      <c r="P8" s="22">
        <v>6</v>
      </c>
      <c r="Q8" s="58" t="s">
        <v>41</v>
      </c>
      <c r="R8" s="22"/>
      <c r="S8" s="22">
        <v>-104.6969610447</v>
      </c>
      <c r="T8" s="22">
        <v>-6.6192259464000003</v>
      </c>
      <c r="U8" s="22"/>
      <c r="V8" s="22"/>
      <c r="W8" s="22"/>
      <c r="X8" s="22"/>
    </row>
    <row r="9" spans="1:24" x14ac:dyDescent="0.45">
      <c r="A9" s="25">
        <v>43986</v>
      </c>
      <c r="B9" s="26" t="s">
        <v>5</v>
      </c>
      <c r="C9" s="26">
        <v>2</v>
      </c>
      <c r="D9" s="26" t="s">
        <v>28</v>
      </c>
      <c r="E9" s="47">
        <v>25</v>
      </c>
      <c r="F9" s="28"/>
      <c r="G9" s="28"/>
      <c r="H9" s="48">
        <v>0.4236111111111111</v>
      </c>
      <c r="I9" s="30">
        <v>43986.423611111109</v>
      </c>
      <c r="J9" s="28"/>
      <c r="K9" s="28"/>
      <c r="L9" s="27">
        <v>-20.6</v>
      </c>
      <c r="M9" s="27">
        <v>-165</v>
      </c>
      <c r="O9" s="60">
        <v>43986</v>
      </c>
      <c r="P9" s="22">
        <v>1</v>
      </c>
      <c r="Q9" s="58" t="s">
        <v>41</v>
      </c>
      <c r="R9" s="22"/>
      <c r="S9" s="22">
        <v>-115.03061177399999</v>
      </c>
      <c r="T9" s="22">
        <v>-8.6517213929000008</v>
      </c>
      <c r="U9" s="22"/>
      <c r="V9" s="22"/>
      <c r="W9" s="22"/>
      <c r="X9" s="22"/>
    </row>
    <row r="10" spans="1:24" x14ac:dyDescent="0.45">
      <c r="A10" s="19">
        <v>43986</v>
      </c>
      <c r="B10" s="21" t="s">
        <v>5</v>
      </c>
      <c r="C10" s="21">
        <v>2</v>
      </c>
      <c r="D10" s="21" t="s">
        <v>28</v>
      </c>
      <c r="E10" s="45">
        <v>40</v>
      </c>
      <c r="F10" s="22"/>
      <c r="G10" s="22"/>
      <c r="H10" s="46">
        <v>0.4284722222222222</v>
      </c>
      <c r="I10" s="24">
        <v>43986.428472222222</v>
      </c>
      <c r="J10" s="22"/>
      <c r="K10" s="22"/>
      <c r="L10" s="20">
        <v>-18.100000000000001</v>
      </c>
      <c r="M10" s="20">
        <v>-157</v>
      </c>
      <c r="O10" s="60">
        <v>43986</v>
      </c>
      <c r="P10" s="22">
        <v>2</v>
      </c>
      <c r="Q10" s="58" t="s">
        <v>41</v>
      </c>
      <c r="R10" s="22"/>
      <c r="S10" s="22">
        <v>-106.3191786764</v>
      </c>
      <c r="T10" s="22">
        <v>-5.9845985916000002</v>
      </c>
      <c r="U10" s="22"/>
      <c r="V10" s="22"/>
      <c r="W10" s="22"/>
      <c r="X10" s="22"/>
    </row>
    <row r="11" spans="1:24" x14ac:dyDescent="0.45">
      <c r="A11" s="19">
        <v>43986</v>
      </c>
      <c r="B11" s="21" t="s">
        <v>5</v>
      </c>
      <c r="C11" s="21">
        <v>2</v>
      </c>
      <c r="D11" s="21" t="s">
        <v>28</v>
      </c>
      <c r="E11" s="45">
        <v>60</v>
      </c>
      <c r="F11" s="22"/>
      <c r="G11" s="22"/>
      <c r="H11" s="46">
        <v>0.43402777777777773</v>
      </c>
      <c r="I11" s="24">
        <v>43986.434027777781</v>
      </c>
      <c r="J11" s="22"/>
      <c r="K11" s="22"/>
      <c r="L11" s="20">
        <v>-19.3</v>
      </c>
      <c r="M11" s="20">
        <v>-163</v>
      </c>
      <c r="O11" s="60">
        <v>43986</v>
      </c>
      <c r="P11" s="22">
        <v>3</v>
      </c>
      <c r="Q11" s="58" t="s">
        <v>41</v>
      </c>
      <c r="R11" s="22"/>
      <c r="S11" s="22">
        <v>-112.78229453429999</v>
      </c>
      <c r="T11" s="22">
        <v>-8.6889791568000003</v>
      </c>
      <c r="U11" s="22"/>
      <c r="V11" s="22"/>
      <c r="W11" s="22"/>
      <c r="X11" s="22"/>
    </row>
    <row r="12" spans="1:24" x14ac:dyDescent="0.45">
      <c r="A12" s="19">
        <v>43986</v>
      </c>
      <c r="B12" s="21" t="s">
        <v>5</v>
      </c>
      <c r="C12" s="21">
        <v>2</v>
      </c>
      <c r="D12" s="21" t="s">
        <v>28</v>
      </c>
      <c r="E12" s="45">
        <v>100</v>
      </c>
      <c r="F12" s="22"/>
      <c r="G12" s="22"/>
      <c r="H12" s="46">
        <v>0.4381944444444445</v>
      </c>
      <c r="I12" s="24">
        <v>43986.438194444447</v>
      </c>
      <c r="J12" s="46">
        <v>0.44444444444444442</v>
      </c>
      <c r="K12" s="22"/>
      <c r="L12" s="20">
        <v>-20.7</v>
      </c>
      <c r="M12" s="20">
        <v>-167</v>
      </c>
      <c r="O12" s="60">
        <v>43986</v>
      </c>
      <c r="P12" s="22">
        <v>4</v>
      </c>
      <c r="Q12" s="58" t="s">
        <v>41</v>
      </c>
      <c r="R12" s="22"/>
      <c r="S12" s="22">
        <v>-106.6057902881</v>
      </c>
      <c r="T12" s="22">
        <v>-7.9497493772999999</v>
      </c>
      <c r="U12" s="22"/>
      <c r="V12" s="22"/>
      <c r="W12" s="22"/>
      <c r="X12" s="22"/>
    </row>
    <row r="13" spans="1:24" x14ac:dyDescent="0.45">
      <c r="A13" s="25">
        <v>43986</v>
      </c>
      <c r="B13" s="26" t="s">
        <v>5</v>
      </c>
      <c r="C13" s="27">
        <v>3</v>
      </c>
      <c r="D13" s="27" t="s">
        <v>30</v>
      </c>
      <c r="E13" s="47">
        <v>5</v>
      </c>
      <c r="F13" s="28"/>
      <c r="G13" s="28"/>
      <c r="H13" s="48">
        <v>0.4513888888888889</v>
      </c>
      <c r="I13" s="30">
        <v>43986.451388888891</v>
      </c>
      <c r="J13" s="28"/>
      <c r="K13" s="28"/>
      <c r="L13" s="27">
        <v>-5</v>
      </c>
      <c r="M13" s="27">
        <v>-124</v>
      </c>
      <c r="O13" s="60">
        <v>43986</v>
      </c>
      <c r="P13" s="22">
        <v>7</v>
      </c>
      <c r="Q13" s="58" t="s">
        <v>41</v>
      </c>
      <c r="R13" s="22"/>
      <c r="S13" s="22">
        <v>-113.8854593435</v>
      </c>
      <c r="T13" s="22">
        <v>-8.8452042674999998</v>
      </c>
      <c r="U13" s="22"/>
      <c r="V13" s="22"/>
      <c r="W13" s="22"/>
      <c r="X13" s="22"/>
    </row>
    <row r="14" spans="1:24" x14ac:dyDescent="0.45">
      <c r="A14" s="25">
        <v>43986</v>
      </c>
      <c r="B14" s="26" t="s">
        <v>5</v>
      </c>
      <c r="C14" s="27">
        <v>3</v>
      </c>
      <c r="D14" s="27" t="s">
        <v>30</v>
      </c>
      <c r="E14" s="47">
        <v>10</v>
      </c>
      <c r="F14" s="28"/>
      <c r="G14" s="28"/>
      <c r="H14" s="48">
        <v>0.45624999999999999</v>
      </c>
      <c r="I14" s="30">
        <v>43986.456250000003</v>
      </c>
      <c r="J14" s="28"/>
      <c r="K14" s="28"/>
      <c r="L14" s="27">
        <v>-16.8</v>
      </c>
      <c r="M14" s="27">
        <v>-151</v>
      </c>
      <c r="O14" s="60">
        <v>43986</v>
      </c>
      <c r="P14" s="22">
        <v>8</v>
      </c>
      <c r="Q14" s="58" t="s">
        <v>41</v>
      </c>
      <c r="R14" s="22"/>
      <c r="S14" s="22">
        <v>-104.8444338801</v>
      </c>
      <c r="T14" s="22">
        <v>-5.3677741208</v>
      </c>
      <c r="U14" s="22"/>
      <c r="V14" s="22"/>
      <c r="W14" s="22"/>
      <c r="X14" s="22"/>
    </row>
    <row r="15" spans="1:24" x14ac:dyDescent="0.45">
      <c r="A15" s="25">
        <v>43986</v>
      </c>
      <c r="B15" s="26" t="s">
        <v>5</v>
      </c>
      <c r="C15" s="27">
        <v>3</v>
      </c>
      <c r="D15" s="27" t="s">
        <v>30</v>
      </c>
      <c r="E15" s="47">
        <v>15</v>
      </c>
      <c r="F15" s="28"/>
      <c r="G15" s="28"/>
      <c r="H15" s="48">
        <v>0.4597222222222222</v>
      </c>
      <c r="I15" s="30">
        <v>43986.459722222222</v>
      </c>
      <c r="J15" s="28"/>
      <c r="K15" s="28"/>
      <c r="L15" s="27">
        <v>-20.100000000000001</v>
      </c>
      <c r="M15" s="27">
        <v>-163</v>
      </c>
    </row>
    <row r="16" spans="1:24" x14ac:dyDescent="0.45">
      <c r="A16" s="25">
        <v>43986</v>
      </c>
      <c r="B16" s="26" t="s">
        <v>5</v>
      </c>
      <c r="C16" s="27">
        <v>3</v>
      </c>
      <c r="D16" s="27" t="s">
        <v>30</v>
      </c>
      <c r="E16" s="47">
        <v>25</v>
      </c>
      <c r="F16" s="28"/>
      <c r="G16" s="28"/>
      <c r="H16" s="48">
        <v>0.46319444444444446</v>
      </c>
      <c r="I16" s="30">
        <v>43986.463194444441</v>
      </c>
      <c r="J16" s="28"/>
      <c r="K16" s="28"/>
      <c r="L16" s="27">
        <v>-20.7</v>
      </c>
      <c r="M16" s="27">
        <v>-170</v>
      </c>
    </row>
    <row r="17" spans="1:13" x14ac:dyDescent="0.45">
      <c r="A17" s="19">
        <v>43986</v>
      </c>
      <c r="B17" s="21" t="s">
        <v>5</v>
      </c>
      <c r="C17" s="20">
        <v>3</v>
      </c>
      <c r="D17" s="20" t="s">
        <v>30</v>
      </c>
      <c r="E17" s="45">
        <v>40</v>
      </c>
      <c r="F17" s="22"/>
      <c r="G17" s="22"/>
      <c r="H17" s="46">
        <v>0.46597222222222223</v>
      </c>
      <c r="I17" s="24">
        <v>43986.46597222222</v>
      </c>
      <c r="J17" s="22"/>
      <c r="K17" s="22"/>
      <c r="L17" s="20">
        <v>-17.7</v>
      </c>
      <c r="M17" s="20">
        <v>-157</v>
      </c>
    </row>
    <row r="18" spans="1:13" x14ac:dyDescent="0.45">
      <c r="A18" s="19">
        <v>43986</v>
      </c>
      <c r="B18" s="21" t="s">
        <v>5</v>
      </c>
      <c r="C18" s="20">
        <v>3</v>
      </c>
      <c r="D18" s="20" t="s">
        <v>30</v>
      </c>
      <c r="E18" s="45">
        <v>60</v>
      </c>
      <c r="F18" s="22"/>
      <c r="G18" s="22"/>
      <c r="H18" s="46">
        <v>0.47152777777777777</v>
      </c>
      <c r="I18" s="24">
        <v>43986.47152777778</v>
      </c>
      <c r="J18" s="22"/>
      <c r="K18" s="22"/>
      <c r="L18" s="20">
        <v>-18.5</v>
      </c>
      <c r="M18" s="20">
        <v>-164</v>
      </c>
    </row>
    <row r="19" spans="1:13" x14ac:dyDescent="0.45">
      <c r="A19" s="19">
        <v>43986</v>
      </c>
      <c r="B19" s="21" t="s">
        <v>5</v>
      </c>
      <c r="C19" s="20">
        <v>3</v>
      </c>
      <c r="D19" s="20" t="s">
        <v>30</v>
      </c>
      <c r="E19" s="45">
        <v>100</v>
      </c>
      <c r="F19" s="22"/>
      <c r="G19" s="22"/>
      <c r="H19" s="46">
        <v>0.47638888888888892</v>
      </c>
      <c r="I19" s="24">
        <v>43986.476388888892</v>
      </c>
      <c r="J19" s="22"/>
      <c r="K19" s="22"/>
      <c r="L19" s="20">
        <v>-22</v>
      </c>
      <c r="M19" s="20">
        <v>-171</v>
      </c>
    </row>
    <row r="21" spans="1:13" x14ac:dyDescent="0.45">
      <c r="A21" s="19" t="s">
        <v>15</v>
      </c>
      <c r="B21" s="20" t="s">
        <v>16</v>
      </c>
      <c r="C21" s="20" t="s">
        <v>17</v>
      </c>
      <c r="D21" s="20" t="s">
        <v>18</v>
      </c>
      <c r="E21" s="20" t="s">
        <v>19</v>
      </c>
      <c r="F21" s="20" t="s">
        <v>20</v>
      </c>
      <c r="G21" s="20" t="s">
        <v>21</v>
      </c>
      <c r="H21" s="20" t="s">
        <v>22</v>
      </c>
      <c r="I21" s="20" t="s">
        <v>23</v>
      </c>
      <c r="J21" s="20" t="s">
        <v>24</v>
      </c>
      <c r="K21" s="20" t="s">
        <v>25</v>
      </c>
      <c r="L21" s="20" t="s">
        <v>26</v>
      </c>
      <c r="M21" s="20" t="s">
        <v>27</v>
      </c>
    </row>
    <row r="22" spans="1:13" x14ac:dyDescent="0.45">
      <c r="A22" s="25">
        <v>43986</v>
      </c>
      <c r="B22" s="26" t="s">
        <v>5</v>
      </c>
      <c r="C22" s="26">
        <v>2</v>
      </c>
      <c r="D22" s="26" t="s">
        <v>28</v>
      </c>
      <c r="E22" s="47">
        <v>5</v>
      </c>
      <c r="F22" s="28"/>
      <c r="G22" s="28"/>
      <c r="H22" s="48">
        <v>0.41041666666666665</v>
      </c>
      <c r="I22" s="30">
        <v>43986.410416666666</v>
      </c>
      <c r="J22" s="28"/>
      <c r="K22" s="27">
        <v>18000</v>
      </c>
      <c r="L22" s="27">
        <v>-2.8</v>
      </c>
      <c r="M22" s="27">
        <v>-116</v>
      </c>
    </row>
    <row r="23" spans="1:13" x14ac:dyDescent="0.45">
      <c r="A23" s="25">
        <v>43986</v>
      </c>
      <c r="B23" s="26" t="s">
        <v>5</v>
      </c>
      <c r="C23" s="26">
        <v>2</v>
      </c>
      <c r="D23" s="26" t="s">
        <v>28</v>
      </c>
      <c r="E23" s="47">
        <v>10</v>
      </c>
      <c r="F23" s="28"/>
      <c r="G23" s="28"/>
      <c r="H23" s="48">
        <v>0.4145833333333333</v>
      </c>
      <c r="I23" s="30">
        <v>43986.414583333331</v>
      </c>
      <c r="J23" s="28"/>
      <c r="K23" s="28"/>
      <c r="L23" s="27">
        <v>-10.6</v>
      </c>
      <c r="M23" s="27">
        <v>-134</v>
      </c>
    </row>
    <row r="24" spans="1:13" x14ac:dyDescent="0.45">
      <c r="A24" s="25">
        <v>43986</v>
      </c>
      <c r="B24" s="26" t="s">
        <v>5</v>
      </c>
      <c r="C24" s="26">
        <v>2</v>
      </c>
      <c r="D24" s="26" t="s">
        <v>28</v>
      </c>
      <c r="E24" s="47">
        <v>25</v>
      </c>
      <c r="F24" s="28"/>
      <c r="G24" s="28"/>
      <c r="H24" s="48">
        <v>0.4236111111111111</v>
      </c>
      <c r="I24" s="30">
        <v>43986.423611111109</v>
      </c>
      <c r="J24" s="28"/>
      <c r="K24" s="28"/>
      <c r="L24" s="27">
        <v>-20.6</v>
      </c>
      <c r="M24" s="27">
        <v>-165</v>
      </c>
    </row>
    <row r="25" spans="1:13" x14ac:dyDescent="0.45">
      <c r="A25" s="25">
        <v>43986</v>
      </c>
      <c r="B25" s="26" t="s">
        <v>5</v>
      </c>
      <c r="C25" s="27">
        <v>3</v>
      </c>
      <c r="D25" s="27" t="s">
        <v>30</v>
      </c>
      <c r="E25" s="47">
        <v>5</v>
      </c>
      <c r="F25" s="28"/>
      <c r="G25" s="28"/>
      <c r="H25" s="48">
        <v>0.4513888888888889</v>
      </c>
      <c r="I25" s="30">
        <v>43986.451388888891</v>
      </c>
      <c r="J25" s="28"/>
      <c r="K25" s="28"/>
      <c r="L25" s="27">
        <v>-5</v>
      </c>
      <c r="M25" s="27">
        <v>-124</v>
      </c>
    </row>
    <row r="26" spans="1:13" x14ac:dyDescent="0.45">
      <c r="A26" s="25">
        <v>43986</v>
      </c>
      <c r="B26" s="26" t="s">
        <v>5</v>
      </c>
      <c r="C26" s="27">
        <v>3</v>
      </c>
      <c r="D26" s="27" t="s">
        <v>30</v>
      </c>
      <c r="E26" s="47">
        <v>10</v>
      </c>
      <c r="F26" s="28"/>
      <c r="G26" s="28"/>
      <c r="H26" s="48">
        <v>0.45624999999999999</v>
      </c>
      <c r="I26" s="30">
        <v>43986.456250000003</v>
      </c>
      <c r="J26" s="28"/>
      <c r="K26" s="28"/>
      <c r="L26" s="27">
        <v>-16.8</v>
      </c>
      <c r="M26" s="27">
        <v>-151</v>
      </c>
    </row>
    <row r="27" spans="1:13" x14ac:dyDescent="0.45">
      <c r="A27" s="25">
        <v>43986</v>
      </c>
      <c r="B27" s="26" t="s">
        <v>5</v>
      </c>
      <c r="C27" s="27">
        <v>3</v>
      </c>
      <c r="D27" s="27" t="s">
        <v>30</v>
      </c>
      <c r="E27" s="47">
        <v>15</v>
      </c>
      <c r="F27" s="28"/>
      <c r="G27" s="28"/>
      <c r="H27" s="48">
        <v>0.4597222222222222</v>
      </c>
      <c r="I27" s="30">
        <v>43986.459722222222</v>
      </c>
      <c r="J27" s="28"/>
      <c r="K27" s="28"/>
      <c r="L27" s="27">
        <v>-20.100000000000001</v>
      </c>
      <c r="M27" s="27">
        <v>-163</v>
      </c>
    </row>
    <row r="28" spans="1:13" x14ac:dyDescent="0.45">
      <c r="A28" s="25">
        <v>43986</v>
      </c>
      <c r="B28" s="26" t="s">
        <v>5</v>
      </c>
      <c r="C28" s="27">
        <v>3</v>
      </c>
      <c r="D28" s="27" t="s">
        <v>30</v>
      </c>
      <c r="E28" s="47">
        <v>25</v>
      </c>
      <c r="F28" s="28"/>
      <c r="G28" s="28"/>
      <c r="H28" s="48">
        <v>0.46319444444444446</v>
      </c>
      <c r="I28" s="30">
        <v>43986.463194444441</v>
      </c>
      <c r="J28" s="28"/>
      <c r="K28" s="28"/>
      <c r="L28" s="27">
        <v>-20.7</v>
      </c>
      <c r="M28" s="27">
        <v>-170</v>
      </c>
    </row>
    <row r="29" spans="1:13" x14ac:dyDescent="0.45">
      <c r="A29" s="22" t="s">
        <v>33</v>
      </c>
      <c r="B29" s="22" t="s">
        <v>34</v>
      </c>
      <c r="C29" s="22" t="s">
        <v>35</v>
      </c>
      <c r="D29" s="22" t="s">
        <v>36</v>
      </c>
      <c r="E29" s="22" t="s">
        <v>27</v>
      </c>
      <c r="F29" s="22" t="s">
        <v>26</v>
      </c>
      <c r="G29" s="22" t="s">
        <v>37</v>
      </c>
      <c r="H29" s="22" t="s">
        <v>38</v>
      </c>
      <c r="I29" s="22" t="s">
        <v>39</v>
      </c>
      <c r="J29" s="22" t="s">
        <v>40</v>
      </c>
    </row>
    <row r="30" spans="1:13" x14ac:dyDescent="0.45">
      <c r="A30" s="60">
        <v>43986</v>
      </c>
      <c r="B30" s="22">
        <v>25</v>
      </c>
      <c r="C30" s="58" t="s">
        <v>43</v>
      </c>
      <c r="D30" s="22"/>
      <c r="E30" s="22">
        <v>-108.4595922132</v>
      </c>
      <c r="F30" s="22">
        <v>-11.419744704399999</v>
      </c>
      <c r="G30" s="22"/>
      <c r="H30" s="22"/>
      <c r="I30" s="22"/>
      <c r="J30" s="22"/>
    </row>
    <row r="31" spans="1:13" x14ac:dyDescent="0.45">
      <c r="A31" s="60">
        <v>43986</v>
      </c>
      <c r="B31" s="22">
        <v>15</v>
      </c>
      <c r="C31" s="58" t="s">
        <v>43</v>
      </c>
      <c r="D31" s="22"/>
      <c r="E31" s="22">
        <v>-101.9948799371</v>
      </c>
      <c r="F31" s="22">
        <v>-9.3886848573999995</v>
      </c>
      <c r="G31" s="22"/>
      <c r="H31" s="22"/>
      <c r="I31" s="22"/>
      <c r="J31" s="2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4668-C336-4D4A-8ABC-D4DC6A5EFC27}">
  <dimension ref="A1:X32"/>
  <sheetViews>
    <sheetView topLeftCell="E1" workbookViewId="0">
      <selection activeCell="S3" activeCellId="2" sqref="P3 R3 S3"/>
    </sheetView>
  </sheetViews>
  <sheetFormatPr defaultColWidth="9.28515625" defaultRowHeight="18.5" x14ac:dyDescent="0.45"/>
  <cols>
    <col min="1" max="1" width="9.42578125" bestFit="1" customWidth="1"/>
    <col min="2" max="2" width="5.92578125" bestFit="1" customWidth="1"/>
    <col min="3" max="3" width="6.92578125" bestFit="1" customWidth="1"/>
    <col min="4" max="4" width="18.28515625" bestFit="1" customWidth="1"/>
    <col min="5" max="6" width="12.5" bestFit="1" customWidth="1"/>
    <col min="7" max="7" width="15.7109375" bestFit="1" customWidth="1"/>
    <col min="8" max="9" width="11.92578125" bestFit="1" customWidth="1"/>
    <col min="11" max="11" width="8.42578125" bestFit="1" customWidth="1"/>
    <col min="12" max="12" width="4" bestFit="1" customWidth="1"/>
    <col min="13" max="13" width="3.28515625" bestFit="1" customWidth="1"/>
    <col min="15" max="15" width="9.0703125" bestFit="1" customWidth="1"/>
    <col min="16" max="16" width="6" bestFit="1" customWidth="1"/>
    <col min="17" max="17" width="4.92578125" bestFit="1" customWidth="1"/>
    <col min="18" max="18" width="11.92578125" bestFit="1" customWidth="1"/>
    <col min="19" max="20" width="12.5" bestFit="1" customWidth="1"/>
    <col min="21" max="21" width="4.92578125" bestFit="1" customWidth="1"/>
    <col min="22" max="22" width="6.5703125" bestFit="1" customWidth="1"/>
    <col min="23" max="23" width="8.0703125" bestFit="1" customWidth="1"/>
  </cols>
  <sheetData>
    <row r="1" spans="1:24" ht="19" thickBot="1" x14ac:dyDescent="0.5">
      <c r="A1" s="1" t="s">
        <v>0</v>
      </c>
      <c r="B1" s="1" t="s">
        <v>1</v>
      </c>
      <c r="C1" s="1" t="s">
        <v>2</v>
      </c>
      <c r="D1" s="1" t="s">
        <v>3</v>
      </c>
      <c r="F1" s="22"/>
      <c r="G1" s="101" t="s">
        <v>52</v>
      </c>
      <c r="H1" s="101" t="s">
        <v>53</v>
      </c>
      <c r="I1" s="101" t="s">
        <v>55</v>
      </c>
      <c r="J1" s="101" t="s">
        <v>54</v>
      </c>
      <c r="O1" s="22"/>
      <c r="P1" s="101" t="s">
        <v>52</v>
      </c>
      <c r="Q1" s="101" t="s">
        <v>53</v>
      </c>
      <c r="R1" s="101" t="s">
        <v>55</v>
      </c>
      <c r="S1" s="101" t="s">
        <v>54</v>
      </c>
    </row>
    <row r="2" spans="1:24" ht="19" thickTop="1" x14ac:dyDescent="0.45">
      <c r="A2" s="4" t="s">
        <v>12</v>
      </c>
      <c r="B2" s="4" t="s">
        <v>5</v>
      </c>
      <c r="C2" s="4">
        <v>15</v>
      </c>
      <c r="D2" s="5">
        <v>44000</v>
      </c>
      <c r="F2" s="101" t="s">
        <v>56</v>
      </c>
      <c r="G2" s="22">
        <f>AVERAGE($L$22:$L$28,F30:F32)</f>
        <v>-12.444499417079999</v>
      </c>
      <c r="H2" s="22">
        <f>_xlfn.STDEV.S($L$22:$L$28,F30:F32)</f>
        <v>8.4273871400279141</v>
      </c>
      <c r="I2" s="22">
        <f>H2/SQRT(J2)</f>
        <v>2.6649738086500561</v>
      </c>
      <c r="J2" s="22">
        <f>COUNT($L$22:$L$28,F30:F32)</f>
        <v>10</v>
      </c>
      <c r="O2" s="101" t="s">
        <v>56</v>
      </c>
      <c r="P2" s="102">
        <f>AVERAGE(T7:T14)</f>
        <v>-7.5010443147000005</v>
      </c>
      <c r="Q2" s="102">
        <f>_xlfn.STDEV.S($T$7:T14)</f>
        <v>1.9592701794211853</v>
      </c>
      <c r="R2" s="22">
        <f>Q2/SQRT(S2)</f>
        <v>0.69270661502265185</v>
      </c>
      <c r="S2" s="102">
        <f>COUNT($T$7:T14)</f>
        <v>8</v>
      </c>
    </row>
    <row r="3" spans="1:24" x14ac:dyDescent="0.45">
      <c r="F3" s="101" t="s">
        <v>57</v>
      </c>
      <c r="G3" s="22">
        <f>AVERAGE($M$22:$M$28,E30:E32)</f>
        <v>-131.01195708775998</v>
      </c>
      <c r="H3" s="22">
        <f>_xlfn.STDEV.S($M$22:$M$28,E30:E32)</f>
        <v>35.519714624962297</v>
      </c>
      <c r="I3" s="22">
        <f>H3/SQRT(J3)</f>
        <v>11.232320005407432</v>
      </c>
      <c r="J3" s="22">
        <f>COUNT($M$22:$M$28,E30:E32)</f>
        <v>10</v>
      </c>
      <c r="O3" s="101" t="s">
        <v>57</v>
      </c>
      <c r="P3" s="102">
        <f>AVERAGE(S7:S14)</f>
        <v>-106.674038888</v>
      </c>
      <c r="Q3" s="102">
        <f>_xlfn.STDEV.S($S$7:S14)</f>
        <v>5.9514955873687718</v>
      </c>
      <c r="R3" s="22">
        <f>Q3/SQRT(S3)</f>
        <v>2.1041714440151367</v>
      </c>
      <c r="S3" s="102">
        <f>COUNT($S$7:S14)</f>
        <v>8</v>
      </c>
    </row>
    <row r="6" spans="1:24" x14ac:dyDescent="0.45">
      <c r="A6" s="19" t="s">
        <v>15</v>
      </c>
      <c r="B6" s="20" t="s">
        <v>16</v>
      </c>
      <c r="C6" s="20" t="s">
        <v>17</v>
      </c>
      <c r="D6" s="20" t="s">
        <v>18</v>
      </c>
      <c r="E6" s="20" t="s">
        <v>19</v>
      </c>
      <c r="F6" s="20" t="s">
        <v>20</v>
      </c>
      <c r="G6" s="20" t="s">
        <v>21</v>
      </c>
      <c r="H6" s="20" t="s">
        <v>22</v>
      </c>
      <c r="I6" s="20" t="s">
        <v>23</v>
      </c>
      <c r="J6" s="20" t="s">
        <v>24</v>
      </c>
      <c r="K6" s="20" t="s">
        <v>25</v>
      </c>
      <c r="L6" s="20" t="s">
        <v>26</v>
      </c>
      <c r="M6" s="20" t="s">
        <v>27</v>
      </c>
      <c r="O6" s="22" t="s">
        <v>33</v>
      </c>
      <c r="P6" s="22" t="s">
        <v>34</v>
      </c>
      <c r="Q6" s="22" t="s">
        <v>35</v>
      </c>
      <c r="R6" s="22" t="s">
        <v>36</v>
      </c>
      <c r="S6" s="22" t="s">
        <v>27</v>
      </c>
      <c r="T6" s="22" t="s">
        <v>26</v>
      </c>
      <c r="U6" s="22" t="s">
        <v>37</v>
      </c>
      <c r="V6" s="22" t="s">
        <v>38</v>
      </c>
      <c r="W6" s="22" t="s">
        <v>39</v>
      </c>
      <c r="X6" s="22" t="s">
        <v>40</v>
      </c>
    </row>
    <row r="7" spans="1:24" x14ac:dyDescent="0.45">
      <c r="A7" s="25">
        <v>44000</v>
      </c>
      <c r="B7" s="26" t="s">
        <v>5</v>
      </c>
      <c r="C7" s="27">
        <v>2</v>
      </c>
      <c r="D7" s="27" t="s">
        <v>28</v>
      </c>
      <c r="E7" s="47">
        <v>5</v>
      </c>
      <c r="F7" s="28"/>
      <c r="G7" s="28"/>
      <c r="H7" s="48">
        <v>0.43194444444444446</v>
      </c>
      <c r="I7" s="30">
        <v>44000.431944444441</v>
      </c>
      <c r="J7" s="28"/>
      <c r="K7" s="28">
        <v>16000</v>
      </c>
      <c r="L7" s="27">
        <v>-3.6</v>
      </c>
      <c r="M7" s="27">
        <v>-106</v>
      </c>
      <c r="O7" s="60">
        <v>44000</v>
      </c>
      <c r="P7" s="22">
        <v>8</v>
      </c>
      <c r="Q7" s="58" t="s">
        <v>41</v>
      </c>
      <c r="R7" s="22"/>
      <c r="S7" s="22">
        <v>-106.3410078835</v>
      </c>
      <c r="T7" s="22">
        <v>-8.5850908223999998</v>
      </c>
      <c r="U7" s="22"/>
      <c r="V7" s="22"/>
      <c r="W7" s="22"/>
      <c r="X7" s="22"/>
    </row>
    <row r="8" spans="1:24" x14ac:dyDescent="0.45">
      <c r="A8" s="25">
        <v>44000</v>
      </c>
      <c r="B8" s="26" t="s">
        <v>5</v>
      </c>
      <c r="C8" s="27">
        <v>2</v>
      </c>
      <c r="D8" s="27" t="s">
        <v>28</v>
      </c>
      <c r="E8" s="47">
        <v>10</v>
      </c>
      <c r="F8" s="28"/>
      <c r="G8" s="28"/>
      <c r="H8" s="48">
        <v>0.43472222222222223</v>
      </c>
      <c r="I8" s="30">
        <v>44000.43472222222</v>
      </c>
      <c r="J8" s="28"/>
      <c r="K8" s="28">
        <v>17500</v>
      </c>
      <c r="L8" s="27">
        <v>-14</v>
      </c>
      <c r="M8" s="27">
        <v>-136</v>
      </c>
      <c r="O8" s="60">
        <v>44000</v>
      </c>
      <c r="P8" s="22">
        <v>7</v>
      </c>
      <c r="Q8" s="58" t="s">
        <v>41</v>
      </c>
      <c r="R8" s="22"/>
      <c r="S8" s="22">
        <v>-99.595088131899999</v>
      </c>
      <c r="T8" s="22">
        <v>-4.4969747612999997</v>
      </c>
      <c r="U8" s="22"/>
      <c r="V8" s="22"/>
      <c r="W8" s="22"/>
      <c r="X8" s="22"/>
    </row>
    <row r="9" spans="1:24" x14ac:dyDescent="0.45">
      <c r="A9" s="25">
        <v>44000</v>
      </c>
      <c r="B9" s="26" t="s">
        <v>5</v>
      </c>
      <c r="C9" s="27">
        <v>2</v>
      </c>
      <c r="D9" s="27" t="s">
        <v>28</v>
      </c>
      <c r="E9" s="47">
        <v>25</v>
      </c>
      <c r="F9" s="28"/>
      <c r="G9" s="28"/>
      <c r="H9" s="48">
        <v>0.44791666666666669</v>
      </c>
      <c r="I9" s="30">
        <v>44000.447916666664</v>
      </c>
      <c r="J9" s="28"/>
      <c r="K9" s="28">
        <v>17000</v>
      </c>
      <c r="L9" s="27">
        <v>-22</v>
      </c>
      <c r="M9" s="27">
        <v>-169</v>
      </c>
      <c r="O9" s="60">
        <v>44000</v>
      </c>
      <c r="P9" s="22">
        <v>6</v>
      </c>
      <c r="Q9" s="58" t="s">
        <v>41</v>
      </c>
      <c r="R9" s="22"/>
      <c r="S9" s="22">
        <v>-105.3845873849</v>
      </c>
      <c r="T9" s="22">
        <v>-7.7743917844999997</v>
      </c>
      <c r="U9" s="22"/>
      <c r="V9" s="22"/>
      <c r="W9" s="22"/>
      <c r="X9" s="22"/>
    </row>
    <row r="10" spans="1:24" x14ac:dyDescent="0.45">
      <c r="A10" s="19">
        <v>44000</v>
      </c>
      <c r="B10" s="21" t="s">
        <v>5</v>
      </c>
      <c r="C10" s="20">
        <v>2</v>
      </c>
      <c r="D10" s="20" t="s">
        <v>28</v>
      </c>
      <c r="E10" s="45">
        <v>40</v>
      </c>
      <c r="F10" s="22"/>
      <c r="G10" s="22"/>
      <c r="H10" s="46">
        <v>0.45208333333333334</v>
      </c>
      <c r="I10" s="24">
        <v>44000.45208333333</v>
      </c>
      <c r="J10" s="22"/>
      <c r="K10" s="22">
        <v>17000</v>
      </c>
      <c r="L10" s="20">
        <v>-19.899999999999999</v>
      </c>
      <c r="M10" s="20">
        <v>-168</v>
      </c>
      <c r="O10" s="60">
        <v>44000</v>
      </c>
      <c r="P10" s="22">
        <v>5</v>
      </c>
      <c r="Q10" s="58" t="s">
        <v>41</v>
      </c>
      <c r="R10" s="22"/>
      <c r="S10" s="22">
        <v>-114.1763074831</v>
      </c>
      <c r="T10" s="22">
        <v>-9.1780580724000007</v>
      </c>
      <c r="U10" s="22"/>
      <c r="V10" s="22"/>
      <c r="W10" s="22"/>
      <c r="X10" s="22"/>
    </row>
    <row r="11" spans="1:24" x14ac:dyDescent="0.45">
      <c r="A11" s="19">
        <v>44000</v>
      </c>
      <c r="B11" s="21" t="s">
        <v>5</v>
      </c>
      <c r="C11" s="20">
        <v>2</v>
      </c>
      <c r="D11" s="20" t="s">
        <v>28</v>
      </c>
      <c r="E11" s="45">
        <v>60</v>
      </c>
      <c r="F11" s="22"/>
      <c r="G11" s="22"/>
      <c r="H11" s="46">
        <v>0.45624999999999999</v>
      </c>
      <c r="I11" s="24">
        <v>44000.456250000003</v>
      </c>
      <c r="J11" s="22"/>
      <c r="K11" s="22">
        <v>18000</v>
      </c>
      <c r="L11" s="20">
        <v>-19.5</v>
      </c>
      <c r="M11" s="20">
        <v>-164</v>
      </c>
      <c r="O11" s="60">
        <v>44000</v>
      </c>
      <c r="P11" s="22">
        <v>4</v>
      </c>
      <c r="Q11" s="58" t="s">
        <v>41</v>
      </c>
      <c r="R11" s="22"/>
      <c r="S11" s="22">
        <v>-112.0509745809</v>
      </c>
      <c r="T11" s="22">
        <v>-9.4454212014000003</v>
      </c>
      <c r="U11" s="22"/>
      <c r="V11" s="22"/>
      <c r="W11" s="22"/>
      <c r="X11" s="22"/>
    </row>
    <row r="12" spans="1:24" x14ac:dyDescent="0.45">
      <c r="A12" s="19">
        <v>44000</v>
      </c>
      <c r="B12" s="21" t="s">
        <v>5</v>
      </c>
      <c r="C12" s="20">
        <v>2</v>
      </c>
      <c r="D12" s="20" t="s">
        <v>28</v>
      </c>
      <c r="E12" s="45">
        <v>100</v>
      </c>
      <c r="F12" s="22"/>
      <c r="G12" s="22"/>
      <c r="H12" s="46">
        <v>0.45902777777777781</v>
      </c>
      <c r="I12" s="24">
        <v>44000.459027777775</v>
      </c>
      <c r="J12" s="22"/>
      <c r="K12" s="22">
        <v>17000</v>
      </c>
      <c r="L12" s="20">
        <v>-20.9</v>
      </c>
      <c r="M12" s="20">
        <v>-167</v>
      </c>
      <c r="O12" s="60">
        <v>44000</v>
      </c>
      <c r="P12" s="22">
        <v>3</v>
      </c>
      <c r="Q12" s="58" t="s">
        <v>41</v>
      </c>
      <c r="R12" s="22"/>
      <c r="S12" s="22">
        <v>-97.566009069100005</v>
      </c>
      <c r="T12" s="22">
        <v>-4.6980807736000001</v>
      </c>
      <c r="U12" s="22"/>
      <c r="V12" s="22"/>
      <c r="W12" s="22"/>
      <c r="X12" s="22"/>
    </row>
    <row r="13" spans="1:24" x14ac:dyDescent="0.45">
      <c r="A13" s="25">
        <v>44000</v>
      </c>
      <c r="B13" s="26" t="s">
        <v>5</v>
      </c>
      <c r="C13" s="27">
        <v>3</v>
      </c>
      <c r="D13" s="27" t="s">
        <v>30</v>
      </c>
      <c r="E13" s="47">
        <v>5</v>
      </c>
      <c r="F13" s="28"/>
      <c r="G13" s="28"/>
      <c r="H13" s="48">
        <v>0.48194444444444445</v>
      </c>
      <c r="I13" s="30">
        <v>44000.481944444444</v>
      </c>
      <c r="J13" s="28"/>
      <c r="K13" s="28">
        <v>21000</v>
      </c>
      <c r="L13" s="27">
        <v>-6.9</v>
      </c>
      <c r="M13" s="27">
        <v>-127</v>
      </c>
      <c r="O13" s="60">
        <v>44000</v>
      </c>
      <c r="P13" s="22">
        <v>2</v>
      </c>
      <c r="Q13" s="58" t="s">
        <v>41</v>
      </c>
      <c r="R13" s="22"/>
      <c r="S13" s="22">
        <v>-106.3327867309</v>
      </c>
      <c r="T13" s="22">
        <v>-6.965355701</v>
      </c>
      <c r="U13" s="22"/>
      <c r="V13" s="22"/>
      <c r="W13" s="22"/>
      <c r="X13" s="22"/>
    </row>
    <row r="14" spans="1:24" x14ac:dyDescent="0.45">
      <c r="A14" s="25">
        <v>44000</v>
      </c>
      <c r="B14" s="26" t="s">
        <v>5</v>
      </c>
      <c r="C14" s="27">
        <v>3</v>
      </c>
      <c r="D14" s="27" t="s">
        <v>30</v>
      </c>
      <c r="E14" s="47">
        <v>10</v>
      </c>
      <c r="F14" s="28"/>
      <c r="G14" s="28"/>
      <c r="H14" s="48">
        <v>0.48472222222222222</v>
      </c>
      <c r="I14" s="30">
        <v>44000.484722222223</v>
      </c>
      <c r="J14" s="28"/>
      <c r="K14" s="28">
        <v>21000</v>
      </c>
      <c r="L14" s="27">
        <v>-17.5</v>
      </c>
      <c r="M14" s="27">
        <v>-155</v>
      </c>
      <c r="O14" s="60">
        <v>44000</v>
      </c>
      <c r="P14" s="22">
        <v>1</v>
      </c>
      <c r="Q14" s="58" t="s">
        <v>41</v>
      </c>
      <c r="R14" s="22"/>
      <c r="S14" s="22">
        <v>-111.94554983970001</v>
      </c>
      <c r="T14" s="22">
        <v>-8.8649814009999997</v>
      </c>
      <c r="U14" s="22"/>
      <c r="V14" s="22"/>
      <c r="W14" s="22"/>
      <c r="X14" s="22"/>
    </row>
    <row r="15" spans="1:24" x14ac:dyDescent="0.45">
      <c r="A15" s="25">
        <v>44000</v>
      </c>
      <c r="B15" s="26" t="s">
        <v>5</v>
      </c>
      <c r="C15" s="27">
        <v>3</v>
      </c>
      <c r="D15" s="27" t="s">
        <v>30</v>
      </c>
      <c r="E15" s="47">
        <v>15</v>
      </c>
      <c r="F15" s="28"/>
      <c r="G15" s="28"/>
      <c r="H15" s="48">
        <v>0.48888888888888887</v>
      </c>
      <c r="I15" s="30">
        <v>44000.488888888889</v>
      </c>
      <c r="J15" s="28"/>
      <c r="K15" s="28">
        <v>21000</v>
      </c>
      <c r="L15" s="27">
        <v>-21.2</v>
      </c>
      <c r="M15" s="27">
        <v>-168</v>
      </c>
    </row>
    <row r="16" spans="1:24" x14ac:dyDescent="0.45">
      <c r="A16" s="25">
        <v>44000</v>
      </c>
      <c r="B16" s="26" t="s">
        <v>5</v>
      </c>
      <c r="C16" s="27">
        <v>3</v>
      </c>
      <c r="D16" s="27" t="s">
        <v>30</v>
      </c>
      <c r="E16" s="47">
        <v>25</v>
      </c>
      <c r="F16" s="28"/>
      <c r="G16" s="28"/>
      <c r="H16" s="48">
        <v>0.49236111111111108</v>
      </c>
      <c r="I16" s="30">
        <v>44000.492361111108</v>
      </c>
      <c r="J16" s="28"/>
      <c r="K16" s="28">
        <v>21000</v>
      </c>
      <c r="L16" s="27">
        <v>-22.5</v>
      </c>
      <c r="M16" s="27">
        <v>-174</v>
      </c>
    </row>
    <row r="17" spans="1:13" x14ac:dyDescent="0.45">
      <c r="A17" s="19">
        <v>44000</v>
      </c>
      <c r="B17" s="21" t="s">
        <v>5</v>
      </c>
      <c r="C17" s="20">
        <v>3</v>
      </c>
      <c r="D17" s="20" t="s">
        <v>30</v>
      </c>
      <c r="E17" s="45">
        <v>40</v>
      </c>
      <c r="F17" s="22"/>
      <c r="G17" s="22"/>
      <c r="H17" s="46">
        <v>0.49513888888888885</v>
      </c>
      <c r="I17" s="24">
        <v>44000.495138888888</v>
      </c>
      <c r="J17" s="22"/>
      <c r="K17" s="22">
        <v>20000</v>
      </c>
      <c r="L17" s="20">
        <v>-21.7</v>
      </c>
      <c r="M17" s="20">
        <v>-172</v>
      </c>
    </row>
    <row r="18" spans="1:13" x14ac:dyDescent="0.45">
      <c r="A18" s="19">
        <v>44000</v>
      </c>
      <c r="B18" s="21" t="s">
        <v>5</v>
      </c>
      <c r="C18" s="20">
        <v>3</v>
      </c>
      <c r="D18" s="20" t="s">
        <v>30</v>
      </c>
      <c r="E18" s="45">
        <v>60</v>
      </c>
      <c r="F18" s="22"/>
      <c r="G18" s="22"/>
      <c r="H18" s="46">
        <v>0.5</v>
      </c>
      <c r="I18" s="24">
        <v>44000.5</v>
      </c>
      <c r="J18" s="22"/>
      <c r="K18" s="22">
        <v>210000</v>
      </c>
      <c r="L18" s="20">
        <v>-20.100000000000001</v>
      </c>
      <c r="M18" s="20">
        <v>-167</v>
      </c>
    </row>
    <row r="19" spans="1:13" x14ac:dyDescent="0.45">
      <c r="A19" s="19">
        <v>44000</v>
      </c>
      <c r="B19" s="21" t="s">
        <v>5</v>
      </c>
      <c r="C19" s="20">
        <v>3</v>
      </c>
      <c r="D19" s="20" t="s">
        <v>30</v>
      </c>
      <c r="E19" s="45">
        <v>100</v>
      </c>
      <c r="F19" s="22"/>
      <c r="G19" s="22"/>
      <c r="H19" s="46">
        <v>0.50347222222222221</v>
      </c>
      <c r="I19" s="24">
        <v>44000.503472222219</v>
      </c>
      <c r="J19" s="22"/>
      <c r="K19" s="22">
        <v>18000</v>
      </c>
      <c r="L19" s="20">
        <v>-22.1</v>
      </c>
      <c r="M19" s="20">
        <v>-173</v>
      </c>
    </row>
    <row r="21" spans="1:13" x14ac:dyDescent="0.45">
      <c r="A21" s="19" t="s">
        <v>15</v>
      </c>
      <c r="B21" s="20" t="s">
        <v>16</v>
      </c>
      <c r="C21" s="20" t="s">
        <v>17</v>
      </c>
      <c r="D21" s="20" t="s">
        <v>18</v>
      </c>
      <c r="E21" s="20" t="s">
        <v>19</v>
      </c>
      <c r="F21" s="20" t="s">
        <v>20</v>
      </c>
      <c r="G21" s="20" t="s">
        <v>21</v>
      </c>
      <c r="H21" s="20" t="s">
        <v>22</v>
      </c>
      <c r="I21" s="20" t="s">
        <v>23</v>
      </c>
      <c r="J21" s="20" t="s">
        <v>24</v>
      </c>
      <c r="K21" s="20" t="s">
        <v>25</v>
      </c>
      <c r="L21" s="20" t="s">
        <v>26</v>
      </c>
      <c r="M21" s="20" t="s">
        <v>27</v>
      </c>
    </row>
    <row r="22" spans="1:13" x14ac:dyDescent="0.45">
      <c r="A22" s="25">
        <v>44000</v>
      </c>
      <c r="B22" s="26" t="s">
        <v>5</v>
      </c>
      <c r="C22" s="27">
        <v>2</v>
      </c>
      <c r="D22" s="27" t="s">
        <v>28</v>
      </c>
      <c r="E22" s="47">
        <v>5</v>
      </c>
      <c r="F22" s="28"/>
      <c r="G22" s="28"/>
      <c r="H22" s="48">
        <v>0.43194444444444446</v>
      </c>
      <c r="I22" s="30">
        <v>44000.431944444441</v>
      </c>
      <c r="J22" s="28"/>
      <c r="K22" s="28">
        <v>16000</v>
      </c>
      <c r="L22" s="27">
        <v>-3.6</v>
      </c>
      <c r="M22" s="27">
        <v>-106</v>
      </c>
    </row>
    <row r="23" spans="1:13" x14ac:dyDescent="0.45">
      <c r="A23" s="25">
        <v>44000</v>
      </c>
      <c r="B23" s="26" t="s">
        <v>5</v>
      </c>
      <c r="C23" s="27">
        <v>2</v>
      </c>
      <c r="D23" s="27" t="s">
        <v>28</v>
      </c>
      <c r="E23" s="47">
        <v>10</v>
      </c>
      <c r="F23" s="28"/>
      <c r="G23" s="28"/>
      <c r="H23" s="48">
        <v>0.43472222222222223</v>
      </c>
      <c r="I23" s="30">
        <v>44000.43472222222</v>
      </c>
      <c r="J23" s="28"/>
      <c r="K23" s="28">
        <v>17500</v>
      </c>
      <c r="L23" s="27">
        <v>-14</v>
      </c>
      <c r="M23" s="27">
        <v>-136</v>
      </c>
    </row>
    <row r="24" spans="1:13" x14ac:dyDescent="0.45">
      <c r="A24" s="25">
        <v>44000</v>
      </c>
      <c r="B24" s="26" t="s">
        <v>5</v>
      </c>
      <c r="C24" s="27">
        <v>2</v>
      </c>
      <c r="D24" s="27" t="s">
        <v>28</v>
      </c>
      <c r="E24" s="47">
        <v>25</v>
      </c>
      <c r="F24" s="28"/>
      <c r="G24" s="28"/>
      <c r="H24" s="48">
        <v>0.44791666666666669</v>
      </c>
      <c r="I24" s="30">
        <v>44000.447916666664</v>
      </c>
      <c r="J24" s="28"/>
      <c r="K24" s="28">
        <v>17000</v>
      </c>
      <c r="L24" s="27">
        <v>-22</v>
      </c>
      <c r="M24" s="27">
        <v>-169</v>
      </c>
    </row>
    <row r="25" spans="1:13" x14ac:dyDescent="0.45">
      <c r="A25" s="25">
        <v>44000</v>
      </c>
      <c r="B25" s="26" t="s">
        <v>5</v>
      </c>
      <c r="C25" s="27">
        <v>3</v>
      </c>
      <c r="D25" s="27" t="s">
        <v>30</v>
      </c>
      <c r="E25" s="47">
        <v>5</v>
      </c>
      <c r="F25" s="28"/>
      <c r="G25" s="28"/>
      <c r="H25" s="48">
        <v>0.48194444444444445</v>
      </c>
      <c r="I25" s="30">
        <v>44000.481944444444</v>
      </c>
      <c r="J25" s="28"/>
      <c r="K25" s="28">
        <v>21000</v>
      </c>
      <c r="L25" s="27">
        <v>-6.9</v>
      </c>
      <c r="M25" s="27">
        <v>-127</v>
      </c>
    </row>
    <row r="26" spans="1:13" x14ac:dyDescent="0.45">
      <c r="A26" s="25">
        <v>44000</v>
      </c>
      <c r="B26" s="26" t="s">
        <v>5</v>
      </c>
      <c r="C26" s="27">
        <v>3</v>
      </c>
      <c r="D26" s="27" t="s">
        <v>30</v>
      </c>
      <c r="E26" s="47">
        <v>10</v>
      </c>
      <c r="F26" s="28"/>
      <c r="G26" s="28"/>
      <c r="H26" s="48">
        <v>0.48472222222222222</v>
      </c>
      <c r="I26" s="30">
        <v>44000.484722222223</v>
      </c>
      <c r="J26" s="28"/>
      <c r="K26" s="28">
        <v>21000</v>
      </c>
      <c r="L26" s="27">
        <v>-17.5</v>
      </c>
      <c r="M26" s="27">
        <v>-155</v>
      </c>
    </row>
    <row r="27" spans="1:13" x14ac:dyDescent="0.45">
      <c r="A27" s="25">
        <v>44000</v>
      </c>
      <c r="B27" s="26" t="s">
        <v>5</v>
      </c>
      <c r="C27" s="27">
        <v>3</v>
      </c>
      <c r="D27" s="27" t="s">
        <v>30</v>
      </c>
      <c r="E27" s="47">
        <v>15</v>
      </c>
      <c r="F27" s="28"/>
      <c r="G27" s="28"/>
      <c r="H27" s="48">
        <v>0.48888888888888887</v>
      </c>
      <c r="I27" s="30">
        <v>44000.488888888889</v>
      </c>
      <c r="J27" s="28"/>
      <c r="K27" s="28">
        <v>21000</v>
      </c>
      <c r="L27" s="27">
        <v>-21.2</v>
      </c>
      <c r="M27" s="27">
        <v>-168</v>
      </c>
    </row>
    <row r="28" spans="1:13" x14ac:dyDescent="0.45">
      <c r="A28" s="25">
        <v>44000</v>
      </c>
      <c r="B28" s="26" t="s">
        <v>5</v>
      </c>
      <c r="C28" s="27">
        <v>3</v>
      </c>
      <c r="D28" s="27" t="s">
        <v>30</v>
      </c>
      <c r="E28" s="47">
        <v>25</v>
      </c>
      <c r="F28" s="28"/>
      <c r="G28" s="28"/>
      <c r="H28" s="48">
        <v>0.49236111111111108</v>
      </c>
      <c r="I28" s="30">
        <v>44000.492361111108</v>
      </c>
      <c r="J28" s="28"/>
      <c r="K28" s="28">
        <v>21000</v>
      </c>
      <c r="L28" s="27">
        <v>-22.5</v>
      </c>
      <c r="M28" s="27">
        <v>-174</v>
      </c>
    </row>
    <row r="29" spans="1:13" x14ac:dyDescent="0.45">
      <c r="A29" s="22" t="s">
        <v>33</v>
      </c>
      <c r="B29" s="22" t="s">
        <v>34</v>
      </c>
      <c r="C29" s="22" t="s">
        <v>35</v>
      </c>
      <c r="D29" s="22" t="s">
        <v>36</v>
      </c>
      <c r="E29" s="22" t="s">
        <v>27</v>
      </c>
      <c r="F29" s="22" t="s">
        <v>26</v>
      </c>
      <c r="G29" s="22" t="s">
        <v>37</v>
      </c>
      <c r="H29" s="22" t="s">
        <v>38</v>
      </c>
      <c r="I29" s="22" t="s">
        <v>39</v>
      </c>
      <c r="J29" s="22" t="s">
        <v>40</v>
      </c>
    </row>
    <row r="30" spans="1:13" x14ac:dyDescent="0.45">
      <c r="A30" s="60">
        <v>44000</v>
      </c>
      <c r="B30" s="22">
        <v>5</v>
      </c>
      <c r="C30" s="58" t="s">
        <v>43</v>
      </c>
      <c r="D30" s="22"/>
      <c r="E30" s="22">
        <v>-68.689585270699993</v>
      </c>
      <c r="F30" s="22">
        <v>2.0496761999999999</v>
      </c>
      <c r="G30" s="22"/>
      <c r="H30" s="22"/>
      <c r="I30" s="22"/>
      <c r="J30" s="22"/>
    </row>
    <row r="31" spans="1:13" x14ac:dyDescent="0.45">
      <c r="A31" s="60">
        <v>44000</v>
      </c>
      <c r="B31" s="22">
        <v>15</v>
      </c>
      <c r="C31" s="58" t="s">
        <v>43</v>
      </c>
      <c r="D31" s="22"/>
      <c r="E31" s="22">
        <v>-99.732785205799999</v>
      </c>
      <c r="F31" s="22">
        <v>-7.8952776316</v>
      </c>
      <c r="G31" s="22"/>
      <c r="H31" s="22"/>
      <c r="I31" s="22"/>
      <c r="J31" s="22"/>
    </row>
    <row r="32" spans="1:13" x14ac:dyDescent="0.45">
      <c r="A32" s="60">
        <v>44000</v>
      </c>
      <c r="B32" s="22">
        <v>25</v>
      </c>
      <c r="C32" s="58" t="s">
        <v>43</v>
      </c>
      <c r="D32" s="22"/>
      <c r="E32" s="22">
        <v>-106.69720040110001</v>
      </c>
      <c r="F32" s="22">
        <v>-10.8993927392</v>
      </c>
      <c r="G32" s="22"/>
      <c r="H32" s="22"/>
      <c r="I32" s="22"/>
      <c r="J32" s="2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A3B7-F03E-4273-9ECA-2FCD18CDE0D8}">
  <dimension ref="A1:X32"/>
  <sheetViews>
    <sheetView topLeftCell="E1" workbookViewId="0">
      <selection activeCell="S3" activeCellId="2" sqref="P3 R3 S3"/>
    </sheetView>
  </sheetViews>
  <sheetFormatPr defaultRowHeight="18.5" x14ac:dyDescent="0.45"/>
  <cols>
    <col min="1" max="1" width="9.42578125" bestFit="1" customWidth="1"/>
    <col min="2" max="2" width="5.92578125" bestFit="1" customWidth="1"/>
    <col min="3" max="3" width="6.92578125" bestFit="1" customWidth="1"/>
    <col min="4" max="4" width="16.7109375" bestFit="1" customWidth="1"/>
    <col min="5" max="6" width="12.5" bestFit="1" customWidth="1"/>
    <col min="7" max="7" width="15.7109375" bestFit="1" customWidth="1"/>
    <col min="8" max="9" width="11.92578125" bestFit="1" customWidth="1"/>
    <col min="10" max="10" width="9.28515625" bestFit="1" customWidth="1"/>
    <col min="11" max="11" width="8.42578125" bestFit="1" customWidth="1"/>
    <col min="12" max="12" width="4" bestFit="1" customWidth="1"/>
    <col min="13" max="13" width="3.28515625" bestFit="1" customWidth="1"/>
    <col min="15" max="15" width="8.5" bestFit="1" customWidth="1"/>
    <col min="16" max="16" width="6" bestFit="1" customWidth="1"/>
    <col min="17" max="17" width="4.92578125" bestFit="1" customWidth="1"/>
    <col min="18" max="18" width="11.92578125" bestFit="1" customWidth="1"/>
    <col min="19" max="20" width="12.5" bestFit="1" customWidth="1"/>
    <col min="21" max="21" width="4.92578125" bestFit="1" customWidth="1"/>
    <col min="22" max="22" width="6.5703125" bestFit="1" customWidth="1"/>
    <col min="23" max="23" width="8.0703125" bestFit="1" customWidth="1"/>
    <col min="24" max="24" width="9.28515625" bestFit="1" customWidth="1"/>
  </cols>
  <sheetData>
    <row r="1" spans="1:24" ht="19" thickBot="1" x14ac:dyDescent="0.5">
      <c r="A1" s="1" t="s">
        <v>0</v>
      </c>
      <c r="B1" s="1" t="s">
        <v>1</v>
      </c>
      <c r="C1" s="1" t="s">
        <v>2</v>
      </c>
      <c r="D1" s="1" t="s">
        <v>3</v>
      </c>
      <c r="F1" s="22"/>
      <c r="G1" s="101" t="s">
        <v>52</v>
      </c>
      <c r="H1" s="101" t="s">
        <v>53</v>
      </c>
      <c r="I1" s="101" t="s">
        <v>55</v>
      </c>
      <c r="J1" s="101" t="s">
        <v>54</v>
      </c>
      <c r="O1" s="22"/>
      <c r="P1" s="101" t="s">
        <v>52</v>
      </c>
      <c r="Q1" s="101" t="s">
        <v>53</v>
      </c>
      <c r="R1" s="101" t="s">
        <v>55</v>
      </c>
      <c r="S1" s="101" t="s">
        <v>54</v>
      </c>
    </row>
    <row r="2" spans="1:24" ht="19" thickTop="1" x14ac:dyDescent="0.45">
      <c r="A2" s="4" t="s">
        <v>13</v>
      </c>
      <c r="B2" s="4" t="s">
        <v>5</v>
      </c>
      <c r="C2" s="4">
        <v>15</v>
      </c>
      <c r="D2" s="5">
        <v>44013</v>
      </c>
      <c r="F2" s="101" t="s">
        <v>56</v>
      </c>
      <c r="G2" s="22">
        <f>AVERAGE($L$22:$L$28,F30:F32)</f>
        <v>-13.73907268504</v>
      </c>
      <c r="H2" s="22">
        <f>_xlfn.STDEV.S($L$22:$L$28,F30:F32)</f>
        <v>6.801968698430275</v>
      </c>
      <c r="I2" s="22">
        <f>H2/SQRT(J2)</f>
        <v>2.1509713660210643</v>
      </c>
      <c r="J2" s="22">
        <f>COUNT($L$22:$L$28,F30:F32)</f>
        <v>10</v>
      </c>
      <c r="O2" s="101" t="s">
        <v>56</v>
      </c>
      <c r="P2" s="102">
        <f>AVERAGE(T7:T13)</f>
        <v>-6.7224635059571431</v>
      </c>
      <c r="Q2" s="102">
        <f>_xlfn.STDEV.S($T$7:T13)</f>
        <v>1.8689532990462767</v>
      </c>
      <c r="R2" s="22">
        <f>Q2/SQRT(S2)</f>
        <v>0.70639794875288264</v>
      </c>
      <c r="S2" s="102">
        <f>COUNT($T$7:T13)</f>
        <v>7</v>
      </c>
    </row>
    <row r="3" spans="1:24" x14ac:dyDescent="0.45">
      <c r="F3" s="101" t="s">
        <v>57</v>
      </c>
      <c r="G3" s="22">
        <f>AVERAGE($M$22:$M$28,E30:E32)</f>
        <v>-134.6298369475</v>
      </c>
      <c r="H3" s="22">
        <f>_xlfn.STDEV.S($M$22:$M$28,E30:E32)</f>
        <v>35.528858503019705</v>
      </c>
      <c r="I3" s="22">
        <f>H3/SQRT(J3)</f>
        <v>11.235211553538258</v>
      </c>
      <c r="J3" s="22">
        <f>COUNT($M$22:$M$28,E30:E32)</f>
        <v>10</v>
      </c>
      <c r="O3" s="101" t="s">
        <v>57</v>
      </c>
      <c r="P3" s="102">
        <f>AVERAGE(S7:S13)</f>
        <v>-105.94316317961427</v>
      </c>
      <c r="Q3" s="102">
        <f>_xlfn.STDEV.S($S$7:S13)</f>
        <v>7.5933370057358429</v>
      </c>
      <c r="R3" s="22">
        <f>Q3/SQRT(S3)</f>
        <v>2.8700116197544112</v>
      </c>
      <c r="S3" s="102">
        <f>COUNT($S$7:S13)</f>
        <v>7</v>
      </c>
    </row>
    <row r="6" spans="1:24" x14ac:dyDescent="0.45">
      <c r="A6" s="19" t="s">
        <v>15</v>
      </c>
      <c r="B6" s="20" t="s">
        <v>16</v>
      </c>
      <c r="C6" s="20" t="s">
        <v>17</v>
      </c>
      <c r="D6" s="20" t="s">
        <v>18</v>
      </c>
      <c r="E6" s="20" t="s">
        <v>19</v>
      </c>
      <c r="F6" s="20" t="s">
        <v>20</v>
      </c>
      <c r="G6" s="20" t="s">
        <v>21</v>
      </c>
      <c r="H6" s="20" t="s">
        <v>22</v>
      </c>
      <c r="I6" s="20" t="s">
        <v>23</v>
      </c>
      <c r="J6" s="20" t="s">
        <v>24</v>
      </c>
      <c r="K6" s="20" t="s">
        <v>25</v>
      </c>
      <c r="L6" s="20" t="s">
        <v>26</v>
      </c>
      <c r="M6" s="20" t="s">
        <v>27</v>
      </c>
      <c r="O6" s="22" t="s">
        <v>33</v>
      </c>
      <c r="P6" s="22" t="s">
        <v>34</v>
      </c>
      <c r="Q6" s="22" t="s">
        <v>35</v>
      </c>
      <c r="R6" s="22" t="s">
        <v>36</v>
      </c>
      <c r="S6" s="22" t="s">
        <v>27</v>
      </c>
      <c r="T6" s="22" t="s">
        <v>26</v>
      </c>
      <c r="U6" s="22" t="s">
        <v>37</v>
      </c>
      <c r="V6" s="22" t="s">
        <v>38</v>
      </c>
      <c r="W6" s="22" t="s">
        <v>39</v>
      </c>
      <c r="X6" s="22" t="s">
        <v>40</v>
      </c>
    </row>
    <row r="7" spans="1:24" x14ac:dyDescent="0.45">
      <c r="A7" s="25">
        <v>44013</v>
      </c>
      <c r="B7" s="26" t="s">
        <v>5</v>
      </c>
      <c r="C7" s="27">
        <v>2</v>
      </c>
      <c r="D7" s="27" t="s">
        <v>28</v>
      </c>
      <c r="E7" s="47">
        <v>5</v>
      </c>
      <c r="F7" s="28"/>
      <c r="G7" s="28"/>
      <c r="H7" s="48">
        <v>0.46666666666666662</v>
      </c>
      <c r="I7" s="30">
        <v>44013.466666666667</v>
      </c>
      <c r="J7" s="28"/>
      <c r="K7" s="28">
        <v>14000</v>
      </c>
      <c r="L7" s="27">
        <v>-14.3</v>
      </c>
      <c r="M7" s="27">
        <v>-133</v>
      </c>
      <c r="O7" s="60">
        <v>44013</v>
      </c>
      <c r="P7" s="22">
        <v>4</v>
      </c>
      <c r="Q7" s="58" t="s">
        <v>41</v>
      </c>
      <c r="R7" s="22"/>
      <c r="S7" s="22">
        <v>-106.9628994134</v>
      </c>
      <c r="T7" s="22">
        <v>-7.1901260154999997</v>
      </c>
      <c r="U7" s="22"/>
      <c r="V7" s="22"/>
      <c r="W7" s="22"/>
      <c r="X7" s="22"/>
    </row>
    <row r="8" spans="1:24" x14ac:dyDescent="0.45">
      <c r="A8" s="25">
        <v>44013</v>
      </c>
      <c r="B8" s="26" t="s">
        <v>5</v>
      </c>
      <c r="C8" s="27">
        <v>2</v>
      </c>
      <c r="D8" s="27" t="s">
        <v>28</v>
      </c>
      <c r="E8" s="47">
        <v>10</v>
      </c>
      <c r="F8" s="28"/>
      <c r="G8" s="28"/>
      <c r="H8" s="48">
        <v>0.4694444444444445</v>
      </c>
      <c r="I8" s="30">
        <v>44013.469444444447</v>
      </c>
      <c r="J8" s="28"/>
      <c r="K8" s="28">
        <v>13000</v>
      </c>
      <c r="L8" s="27">
        <v>-9.3000000000000007</v>
      </c>
      <c r="M8" s="27">
        <v>-126</v>
      </c>
      <c r="O8" s="60">
        <v>44013</v>
      </c>
      <c r="P8" s="22">
        <v>3</v>
      </c>
      <c r="Q8" s="58" t="s">
        <v>41</v>
      </c>
      <c r="R8" s="22"/>
      <c r="S8" s="22">
        <v>-115.3919133038</v>
      </c>
      <c r="T8" s="22">
        <v>-9.4685496674999996</v>
      </c>
      <c r="U8" s="22"/>
      <c r="V8" s="22"/>
      <c r="W8" s="22"/>
      <c r="X8" s="22"/>
    </row>
    <row r="9" spans="1:24" x14ac:dyDescent="0.45">
      <c r="A9" s="25">
        <v>44013</v>
      </c>
      <c r="B9" s="26" t="s">
        <v>5</v>
      </c>
      <c r="C9" s="27">
        <v>2</v>
      </c>
      <c r="D9" s="27" t="s">
        <v>28</v>
      </c>
      <c r="E9" s="47">
        <v>25</v>
      </c>
      <c r="F9" s="28"/>
      <c r="G9" s="28"/>
      <c r="H9" s="48">
        <v>0.47847222222222219</v>
      </c>
      <c r="I9" s="30">
        <v>44013.478472222225</v>
      </c>
      <c r="J9" s="28"/>
      <c r="K9" s="28">
        <v>12500</v>
      </c>
      <c r="L9" s="27">
        <v>-22.2</v>
      </c>
      <c r="M9" s="27">
        <v>-174</v>
      </c>
      <c r="O9" s="60">
        <v>44013</v>
      </c>
      <c r="P9" s="22">
        <v>1</v>
      </c>
      <c r="Q9" s="58" t="s">
        <v>41</v>
      </c>
      <c r="R9" s="22"/>
      <c r="S9" s="22">
        <v>-105.2277206161</v>
      </c>
      <c r="T9" s="22">
        <v>-5.4420671932999998</v>
      </c>
      <c r="U9" s="22"/>
      <c r="V9" s="22"/>
      <c r="W9" s="22"/>
      <c r="X9" s="22"/>
    </row>
    <row r="10" spans="1:24" x14ac:dyDescent="0.45">
      <c r="A10" s="19">
        <v>44013</v>
      </c>
      <c r="B10" s="21" t="s">
        <v>5</v>
      </c>
      <c r="C10" s="20">
        <v>2</v>
      </c>
      <c r="D10" s="20" t="s">
        <v>28</v>
      </c>
      <c r="E10" s="45">
        <v>40</v>
      </c>
      <c r="F10" s="22"/>
      <c r="G10" s="22"/>
      <c r="H10" s="46">
        <v>0.48125000000000001</v>
      </c>
      <c r="I10" s="24">
        <v>44013.481249999997</v>
      </c>
      <c r="J10" s="22"/>
      <c r="K10" s="22">
        <v>12500</v>
      </c>
      <c r="L10" s="20">
        <v>-22.6</v>
      </c>
      <c r="M10" s="20">
        <v>-176</v>
      </c>
      <c r="O10" s="60">
        <v>44013</v>
      </c>
      <c r="P10" s="22">
        <v>2</v>
      </c>
      <c r="Q10" s="58" t="s">
        <v>41</v>
      </c>
      <c r="R10" s="22"/>
      <c r="S10" s="22">
        <v>-90.529044511699993</v>
      </c>
      <c r="T10" s="22">
        <v>-4.8222993103</v>
      </c>
      <c r="U10" s="22"/>
      <c r="V10" s="22"/>
      <c r="W10" s="22"/>
      <c r="X10" s="22"/>
    </row>
    <row r="11" spans="1:24" x14ac:dyDescent="0.45">
      <c r="A11" s="19">
        <v>44013</v>
      </c>
      <c r="B11" s="21" t="s">
        <v>5</v>
      </c>
      <c r="C11" s="20">
        <v>2</v>
      </c>
      <c r="D11" s="20" t="s">
        <v>28</v>
      </c>
      <c r="E11" s="45">
        <v>60</v>
      </c>
      <c r="F11" s="22"/>
      <c r="G11" s="22"/>
      <c r="H11" s="46">
        <v>0.48333333333333334</v>
      </c>
      <c r="I11" s="24">
        <v>44013.48333333333</v>
      </c>
      <c r="J11" s="22"/>
      <c r="K11" s="22">
        <v>13000</v>
      </c>
      <c r="L11" s="20">
        <v>-21.5</v>
      </c>
      <c r="M11" s="20">
        <v>-172</v>
      </c>
      <c r="O11" s="60">
        <v>44013</v>
      </c>
      <c r="P11" s="22">
        <v>6</v>
      </c>
      <c r="Q11" s="58" t="s">
        <v>41</v>
      </c>
      <c r="R11" s="22"/>
      <c r="S11" s="22">
        <v>-109.0028625768</v>
      </c>
      <c r="T11" s="22">
        <v>-8.1839108768000006</v>
      </c>
      <c r="U11" s="22"/>
      <c r="V11" s="22"/>
      <c r="W11" s="22"/>
      <c r="X11" s="22"/>
    </row>
    <row r="12" spans="1:24" x14ac:dyDescent="0.45">
      <c r="A12" s="19">
        <v>44013</v>
      </c>
      <c r="B12" s="21" t="s">
        <v>5</v>
      </c>
      <c r="C12" s="20">
        <v>2</v>
      </c>
      <c r="D12" s="20" t="s">
        <v>28</v>
      </c>
      <c r="E12" s="45">
        <v>100</v>
      </c>
      <c r="F12" s="22"/>
      <c r="G12" s="22"/>
      <c r="H12" s="46">
        <v>0.48680555555555555</v>
      </c>
      <c r="I12" s="24">
        <v>44013.486805555556</v>
      </c>
      <c r="J12" s="22"/>
      <c r="K12" s="22">
        <v>14300</v>
      </c>
      <c r="L12" s="20">
        <v>-21.6</v>
      </c>
      <c r="M12" s="20">
        <v>-168</v>
      </c>
      <c r="O12" s="60">
        <v>44013</v>
      </c>
      <c r="P12" s="22">
        <v>7</v>
      </c>
      <c r="Q12" s="58" t="s">
        <v>41</v>
      </c>
      <c r="R12" s="22"/>
      <c r="S12" s="22">
        <v>-108.79007380669999</v>
      </c>
      <c r="T12" s="22">
        <v>-7.5073641275999998</v>
      </c>
      <c r="U12" s="22"/>
      <c r="V12" s="22"/>
      <c r="W12" s="22"/>
      <c r="X12" s="22"/>
    </row>
    <row r="13" spans="1:24" x14ac:dyDescent="0.45">
      <c r="A13" s="25">
        <v>44013</v>
      </c>
      <c r="B13" s="26" t="s">
        <v>5</v>
      </c>
      <c r="C13" s="27">
        <v>3</v>
      </c>
      <c r="D13" s="27" t="s">
        <v>30</v>
      </c>
      <c r="E13" s="47">
        <v>5</v>
      </c>
      <c r="F13" s="28"/>
      <c r="G13" s="28"/>
      <c r="H13" s="48">
        <v>0.50555555555555554</v>
      </c>
      <c r="I13" s="30">
        <v>44013.505555555559</v>
      </c>
      <c r="J13" s="28"/>
      <c r="K13" s="28">
        <v>14200</v>
      </c>
      <c r="L13" s="27">
        <v>-11.5</v>
      </c>
      <c r="M13" s="27">
        <v>-143</v>
      </c>
      <c r="O13" s="60">
        <v>44013</v>
      </c>
      <c r="P13" s="22">
        <v>8</v>
      </c>
      <c r="Q13" s="58" t="s">
        <v>41</v>
      </c>
      <c r="R13" s="22"/>
      <c r="S13" s="22">
        <v>-105.6976280288</v>
      </c>
      <c r="T13" s="22">
        <v>-4.4429273506999998</v>
      </c>
      <c r="U13" s="22"/>
      <c r="V13" s="22"/>
      <c r="W13" s="22"/>
      <c r="X13" s="22"/>
    </row>
    <row r="14" spans="1:24" x14ac:dyDescent="0.45">
      <c r="A14" s="25">
        <v>44013</v>
      </c>
      <c r="B14" s="26" t="s">
        <v>5</v>
      </c>
      <c r="C14" s="27">
        <v>3</v>
      </c>
      <c r="D14" s="27" t="s">
        <v>30</v>
      </c>
      <c r="E14" s="47">
        <v>10</v>
      </c>
      <c r="F14" s="28"/>
      <c r="G14" s="28"/>
      <c r="H14" s="48">
        <v>0.5083333333333333</v>
      </c>
      <c r="I14" s="30">
        <v>44013.508333333331</v>
      </c>
      <c r="J14" s="28"/>
      <c r="K14" s="28">
        <v>14000</v>
      </c>
      <c r="L14" s="27">
        <v>-16.2</v>
      </c>
      <c r="M14" s="27">
        <v>-156</v>
      </c>
    </row>
    <row r="15" spans="1:24" x14ac:dyDescent="0.45">
      <c r="A15" s="25">
        <v>44013</v>
      </c>
      <c r="B15" s="26" t="s">
        <v>5</v>
      </c>
      <c r="C15" s="27">
        <v>3</v>
      </c>
      <c r="D15" s="27" t="s">
        <v>30</v>
      </c>
      <c r="E15" s="47">
        <v>15</v>
      </c>
      <c r="F15" s="28"/>
      <c r="G15" s="28"/>
      <c r="H15" s="48">
        <v>0.51111111111111118</v>
      </c>
      <c r="I15" s="30">
        <v>44013.511111111111</v>
      </c>
      <c r="J15" s="28"/>
      <c r="K15" s="28">
        <v>14600</v>
      </c>
      <c r="L15" s="27">
        <v>-19.600000000000001</v>
      </c>
      <c r="M15" s="27">
        <v>-164</v>
      </c>
    </row>
    <row r="16" spans="1:24" x14ac:dyDescent="0.45">
      <c r="A16" s="25">
        <v>44013</v>
      </c>
      <c r="B16" s="26" t="s">
        <v>5</v>
      </c>
      <c r="C16" s="27">
        <v>3</v>
      </c>
      <c r="D16" s="27" t="s">
        <v>30</v>
      </c>
      <c r="E16" s="47">
        <v>25</v>
      </c>
      <c r="F16" s="28"/>
      <c r="G16" s="28"/>
      <c r="H16" s="48">
        <v>0.51458333333333328</v>
      </c>
      <c r="I16" s="30">
        <v>44013.51458333333</v>
      </c>
      <c r="J16" s="28"/>
      <c r="K16" s="28">
        <v>14800</v>
      </c>
      <c r="L16" s="27">
        <v>-23.9</v>
      </c>
      <c r="M16" s="27">
        <v>-178</v>
      </c>
    </row>
    <row r="17" spans="1:13" x14ac:dyDescent="0.45">
      <c r="A17" s="19">
        <v>44013</v>
      </c>
      <c r="B17" s="21" t="s">
        <v>5</v>
      </c>
      <c r="C17" s="20">
        <v>3</v>
      </c>
      <c r="D17" s="20" t="s">
        <v>30</v>
      </c>
      <c r="E17" s="45">
        <v>40</v>
      </c>
      <c r="F17" s="22"/>
      <c r="G17" s="22"/>
      <c r="H17" s="46">
        <v>0.51944444444444449</v>
      </c>
      <c r="I17" s="24">
        <v>44013.519444444442</v>
      </c>
      <c r="J17" s="22"/>
      <c r="K17" s="22">
        <v>13500</v>
      </c>
      <c r="L17" s="20">
        <v>-23.7</v>
      </c>
      <c r="M17" s="20">
        <v>-178</v>
      </c>
    </row>
    <row r="18" spans="1:13" x14ac:dyDescent="0.45">
      <c r="A18" s="19">
        <v>44013</v>
      </c>
      <c r="B18" s="21" t="s">
        <v>5</v>
      </c>
      <c r="C18" s="20">
        <v>3</v>
      </c>
      <c r="D18" s="20" t="s">
        <v>30</v>
      </c>
      <c r="E18" s="45">
        <v>60</v>
      </c>
      <c r="F18" s="22"/>
      <c r="G18" s="22"/>
      <c r="H18" s="46">
        <v>0.5229166666666667</v>
      </c>
      <c r="I18" s="24">
        <v>44013.522916666669</v>
      </c>
      <c r="J18" s="22"/>
      <c r="K18" s="22">
        <v>16000</v>
      </c>
      <c r="L18" s="20">
        <v>-21.8</v>
      </c>
      <c r="M18" s="20">
        <v>-173</v>
      </c>
    </row>
    <row r="19" spans="1:13" x14ac:dyDescent="0.45">
      <c r="A19" s="19">
        <v>44013</v>
      </c>
      <c r="B19" s="21" t="s">
        <v>5</v>
      </c>
      <c r="C19" s="20">
        <v>3</v>
      </c>
      <c r="D19" s="20" t="s">
        <v>30</v>
      </c>
      <c r="E19" s="45">
        <v>100</v>
      </c>
      <c r="F19" s="22"/>
      <c r="G19" s="22"/>
      <c r="H19" s="46">
        <v>0.52569444444444446</v>
      </c>
      <c r="I19" s="24">
        <v>44013.525694444441</v>
      </c>
      <c r="J19" s="22"/>
      <c r="K19" s="22">
        <v>14600</v>
      </c>
      <c r="L19" s="20">
        <v>-22.3</v>
      </c>
      <c r="M19" s="20">
        <v>-173</v>
      </c>
    </row>
    <row r="21" spans="1:13" x14ac:dyDescent="0.45">
      <c r="A21" s="19" t="s">
        <v>15</v>
      </c>
      <c r="B21" s="20" t="s">
        <v>16</v>
      </c>
      <c r="C21" s="20" t="s">
        <v>17</v>
      </c>
      <c r="D21" s="20" t="s">
        <v>18</v>
      </c>
      <c r="E21" s="20" t="s">
        <v>19</v>
      </c>
      <c r="F21" s="20" t="s">
        <v>20</v>
      </c>
      <c r="G21" s="20" t="s">
        <v>21</v>
      </c>
      <c r="H21" s="20" t="s">
        <v>22</v>
      </c>
      <c r="I21" s="20" t="s">
        <v>23</v>
      </c>
      <c r="J21" s="20" t="s">
        <v>24</v>
      </c>
      <c r="K21" s="20" t="s">
        <v>25</v>
      </c>
      <c r="L21" s="20" t="s">
        <v>26</v>
      </c>
      <c r="M21" s="20" t="s">
        <v>27</v>
      </c>
    </row>
    <row r="22" spans="1:13" x14ac:dyDescent="0.45">
      <c r="A22" s="25">
        <v>44013</v>
      </c>
      <c r="B22" s="26" t="s">
        <v>5</v>
      </c>
      <c r="C22" s="27">
        <v>2</v>
      </c>
      <c r="D22" s="27" t="s">
        <v>28</v>
      </c>
      <c r="E22" s="47">
        <v>5</v>
      </c>
      <c r="F22" s="28"/>
      <c r="G22" s="28"/>
      <c r="H22" s="48">
        <v>0.46666666666666662</v>
      </c>
      <c r="I22" s="30">
        <v>44013.466666666667</v>
      </c>
      <c r="J22" s="28"/>
      <c r="K22" s="28">
        <v>14000</v>
      </c>
      <c r="L22" s="27">
        <v>-14.3</v>
      </c>
      <c r="M22" s="27">
        <v>-133</v>
      </c>
    </row>
    <row r="23" spans="1:13" x14ac:dyDescent="0.45">
      <c r="A23" s="25">
        <v>44013</v>
      </c>
      <c r="B23" s="26" t="s">
        <v>5</v>
      </c>
      <c r="C23" s="27">
        <v>2</v>
      </c>
      <c r="D23" s="27" t="s">
        <v>28</v>
      </c>
      <c r="E23" s="47">
        <v>10</v>
      </c>
      <c r="F23" s="28"/>
      <c r="G23" s="28"/>
      <c r="H23" s="48">
        <v>0.4694444444444445</v>
      </c>
      <c r="I23" s="30">
        <v>44013.469444444447</v>
      </c>
      <c r="J23" s="28"/>
      <c r="K23" s="28">
        <v>13000</v>
      </c>
      <c r="L23" s="27">
        <v>-9.3000000000000007</v>
      </c>
      <c r="M23" s="27">
        <v>-126</v>
      </c>
    </row>
    <row r="24" spans="1:13" x14ac:dyDescent="0.45">
      <c r="A24" s="25">
        <v>44013</v>
      </c>
      <c r="B24" s="26" t="s">
        <v>5</v>
      </c>
      <c r="C24" s="27">
        <v>2</v>
      </c>
      <c r="D24" s="27" t="s">
        <v>28</v>
      </c>
      <c r="E24" s="47">
        <v>25</v>
      </c>
      <c r="F24" s="28"/>
      <c r="G24" s="28"/>
      <c r="H24" s="48">
        <v>0.47847222222222219</v>
      </c>
      <c r="I24" s="30">
        <v>44013.478472222225</v>
      </c>
      <c r="J24" s="28"/>
      <c r="K24" s="28">
        <v>12500</v>
      </c>
      <c r="L24" s="27">
        <v>-22.2</v>
      </c>
      <c r="M24" s="27">
        <v>-174</v>
      </c>
    </row>
    <row r="25" spans="1:13" x14ac:dyDescent="0.45">
      <c r="A25" s="25">
        <v>44013</v>
      </c>
      <c r="B25" s="26" t="s">
        <v>5</v>
      </c>
      <c r="C25" s="27">
        <v>3</v>
      </c>
      <c r="D25" s="27" t="s">
        <v>30</v>
      </c>
      <c r="E25" s="47">
        <v>5</v>
      </c>
      <c r="F25" s="28"/>
      <c r="G25" s="28"/>
      <c r="H25" s="48">
        <v>0.50555555555555554</v>
      </c>
      <c r="I25" s="30">
        <v>44013.505555555559</v>
      </c>
      <c r="J25" s="28"/>
      <c r="K25" s="28">
        <v>14200</v>
      </c>
      <c r="L25" s="27">
        <v>-11.5</v>
      </c>
      <c r="M25" s="27">
        <v>-143</v>
      </c>
    </row>
    <row r="26" spans="1:13" x14ac:dyDescent="0.45">
      <c r="A26" s="25">
        <v>44013</v>
      </c>
      <c r="B26" s="26" t="s">
        <v>5</v>
      </c>
      <c r="C26" s="27">
        <v>3</v>
      </c>
      <c r="D26" s="27" t="s">
        <v>30</v>
      </c>
      <c r="E26" s="47">
        <v>10</v>
      </c>
      <c r="F26" s="28"/>
      <c r="G26" s="28"/>
      <c r="H26" s="48">
        <v>0.5083333333333333</v>
      </c>
      <c r="I26" s="30">
        <v>44013.508333333331</v>
      </c>
      <c r="J26" s="28"/>
      <c r="K26" s="28">
        <v>14000</v>
      </c>
      <c r="L26" s="27">
        <v>-16.2</v>
      </c>
      <c r="M26" s="27">
        <v>-156</v>
      </c>
    </row>
    <row r="27" spans="1:13" x14ac:dyDescent="0.45">
      <c r="A27" s="25">
        <v>44013</v>
      </c>
      <c r="B27" s="26" t="s">
        <v>5</v>
      </c>
      <c r="C27" s="27">
        <v>3</v>
      </c>
      <c r="D27" s="27" t="s">
        <v>30</v>
      </c>
      <c r="E27" s="47">
        <v>15</v>
      </c>
      <c r="F27" s="28"/>
      <c r="G27" s="28"/>
      <c r="H27" s="48">
        <v>0.51111111111111118</v>
      </c>
      <c r="I27" s="30">
        <v>44013.511111111111</v>
      </c>
      <c r="J27" s="28"/>
      <c r="K27" s="28">
        <v>14600</v>
      </c>
      <c r="L27" s="27">
        <v>-19.600000000000001</v>
      </c>
      <c r="M27" s="27">
        <v>-164</v>
      </c>
    </row>
    <row r="28" spans="1:13" x14ac:dyDescent="0.45">
      <c r="A28" s="25">
        <v>44013</v>
      </c>
      <c r="B28" s="26" t="s">
        <v>5</v>
      </c>
      <c r="C28" s="27">
        <v>3</v>
      </c>
      <c r="D28" s="27" t="s">
        <v>30</v>
      </c>
      <c r="E28" s="47">
        <v>25</v>
      </c>
      <c r="F28" s="28"/>
      <c r="G28" s="28"/>
      <c r="H28" s="48">
        <v>0.51458333333333328</v>
      </c>
      <c r="I28" s="30">
        <v>44013.51458333333</v>
      </c>
      <c r="J28" s="28"/>
      <c r="K28" s="28">
        <v>14800</v>
      </c>
      <c r="L28" s="27">
        <v>-23.9</v>
      </c>
      <c r="M28" s="27">
        <v>-178</v>
      </c>
    </row>
    <row r="29" spans="1:13" x14ac:dyDescent="0.45">
      <c r="A29" s="22" t="s">
        <v>33</v>
      </c>
      <c r="B29" s="22" t="s">
        <v>34</v>
      </c>
      <c r="C29" s="22" t="s">
        <v>35</v>
      </c>
      <c r="D29" s="22" t="s">
        <v>36</v>
      </c>
      <c r="E29" s="22" t="s">
        <v>27</v>
      </c>
      <c r="F29" s="22" t="s">
        <v>26</v>
      </c>
      <c r="G29" s="22" t="s">
        <v>37</v>
      </c>
      <c r="H29" s="22" t="s">
        <v>38</v>
      </c>
      <c r="I29" s="22" t="s">
        <v>39</v>
      </c>
      <c r="J29" s="22" t="s">
        <v>40</v>
      </c>
    </row>
    <row r="30" spans="1:13" x14ac:dyDescent="0.45">
      <c r="A30" s="60">
        <v>44013</v>
      </c>
      <c r="B30" s="22">
        <v>15</v>
      </c>
      <c r="C30" s="58" t="s">
        <v>43</v>
      </c>
      <c r="D30" s="22"/>
      <c r="E30" s="22">
        <v>-95.012673828900006</v>
      </c>
      <c r="F30" s="22">
        <v>-6.6872410474999997</v>
      </c>
      <c r="G30" s="22"/>
      <c r="H30" s="22"/>
      <c r="I30" s="22"/>
      <c r="J30" s="22"/>
    </row>
    <row r="31" spans="1:13" x14ac:dyDescent="0.45">
      <c r="A31" s="60">
        <v>44013</v>
      </c>
      <c r="B31" s="22">
        <v>25</v>
      </c>
      <c r="C31" s="58" t="s">
        <v>43</v>
      </c>
      <c r="D31" s="22"/>
      <c r="E31" s="22">
        <v>-106.8652367358</v>
      </c>
      <c r="F31" s="22">
        <v>-10.8222738241</v>
      </c>
      <c r="G31" s="22"/>
      <c r="H31" s="22"/>
      <c r="I31" s="22"/>
      <c r="J31" s="22"/>
    </row>
    <row r="32" spans="1:13" x14ac:dyDescent="0.45">
      <c r="A32" s="60">
        <v>44013</v>
      </c>
      <c r="B32" s="22">
        <v>5</v>
      </c>
      <c r="C32" s="58" t="s">
        <v>43</v>
      </c>
      <c r="D32" s="22"/>
      <c r="E32" s="22">
        <v>-70.420458910299999</v>
      </c>
      <c r="F32" s="22">
        <v>-2.8812119788000001</v>
      </c>
      <c r="G32" s="22"/>
      <c r="H32" s="22"/>
      <c r="I32" s="22"/>
      <c r="J32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3DD4-D6A9-424B-A307-8AE9FA124FAA}">
  <dimension ref="A1:X31"/>
  <sheetViews>
    <sheetView topLeftCell="F1" zoomScale="90" zoomScaleNormal="90" workbookViewId="0">
      <selection activeCell="S3" activeCellId="2" sqref="P3 R3 S3"/>
    </sheetView>
  </sheetViews>
  <sheetFormatPr defaultRowHeight="18.5" x14ac:dyDescent="0.45"/>
  <cols>
    <col min="1" max="1" width="9.7109375" bestFit="1" customWidth="1"/>
    <col min="2" max="2" width="5.92578125" bestFit="1" customWidth="1"/>
    <col min="3" max="3" width="7" bestFit="1" customWidth="1"/>
    <col min="4" max="4" width="17.78515625" bestFit="1" customWidth="1"/>
    <col min="5" max="6" width="12.5" bestFit="1" customWidth="1"/>
    <col min="7" max="7" width="15.7109375" bestFit="1" customWidth="1"/>
    <col min="8" max="9" width="12" bestFit="1" customWidth="1"/>
    <col min="10" max="10" width="9.42578125" bestFit="1" customWidth="1"/>
    <col min="11" max="11" width="8.42578125" bestFit="1" customWidth="1"/>
    <col min="12" max="12" width="4.28515625" bestFit="1" customWidth="1"/>
    <col min="13" max="13" width="3.5" bestFit="1" customWidth="1"/>
    <col min="15" max="15" width="9.0703125" bestFit="1" customWidth="1"/>
    <col min="16" max="16" width="6" bestFit="1" customWidth="1"/>
    <col min="17" max="17" width="4.92578125" bestFit="1" customWidth="1"/>
    <col min="18" max="18" width="12" bestFit="1" customWidth="1"/>
    <col min="19" max="20" width="12.5" bestFit="1" customWidth="1"/>
    <col min="21" max="21" width="5" bestFit="1" customWidth="1"/>
    <col min="22" max="22" width="6.7109375" bestFit="1" customWidth="1"/>
    <col min="23" max="23" width="8.2109375" bestFit="1" customWidth="1"/>
    <col min="24" max="24" width="9.42578125" bestFit="1" customWidth="1"/>
  </cols>
  <sheetData>
    <row r="1" spans="1:24" ht="19" thickBot="1" x14ac:dyDescent="0.5">
      <c r="A1" s="1" t="s">
        <v>0</v>
      </c>
      <c r="B1" s="1" t="s">
        <v>1</v>
      </c>
      <c r="C1" s="1" t="s">
        <v>2</v>
      </c>
      <c r="D1" s="1" t="s">
        <v>3</v>
      </c>
      <c r="F1" s="22"/>
      <c r="G1" s="101" t="s">
        <v>52</v>
      </c>
      <c r="H1" s="101" t="s">
        <v>53</v>
      </c>
      <c r="I1" s="101" t="s">
        <v>55</v>
      </c>
      <c r="J1" s="101" t="s">
        <v>54</v>
      </c>
      <c r="O1" s="22"/>
      <c r="P1" s="101" t="s">
        <v>52</v>
      </c>
      <c r="Q1" s="101" t="s">
        <v>53</v>
      </c>
      <c r="R1" s="101" t="s">
        <v>55</v>
      </c>
      <c r="S1" s="101" t="s">
        <v>54</v>
      </c>
    </row>
    <row r="2" spans="1:24" ht="19" thickTop="1" x14ac:dyDescent="0.45">
      <c r="A2" s="4" t="s">
        <v>14</v>
      </c>
      <c r="B2" s="4" t="s">
        <v>5</v>
      </c>
      <c r="C2" s="4">
        <v>15</v>
      </c>
      <c r="D2" s="5">
        <v>44028</v>
      </c>
      <c r="F2" s="101" t="s">
        <v>56</v>
      </c>
      <c r="G2" s="22">
        <f>AVERAGE($L$22:$L$28,F30:F31)</f>
        <v>-9.0647103371555549</v>
      </c>
      <c r="H2" s="22">
        <f>_xlfn.STDEV.S($L$22:$L$28,F30:F31)</f>
        <v>7.974113577069291</v>
      </c>
      <c r="I2" s="22">
        <f>H2/SQRT(J2)</f>
        <v>2.6580378590230969</v>
      </c>
      <c r="J2" s="22">
        <f>COUNT($L$22:$L$28,F30:F31)</f>
        <v>9</v>
      </c>
      <c r="O2" s="101" t="s">
        <v>56</v>
      </c>
      <c r="P2" s="102">
        <f>AVERAGE(T7:T15)</f>
        <v>-7.0130667583888879</v>
      </c>
      <c r="Q2" s="102">
        <f>_xlfn.STDEV.S($T$7:T15)</f>
        <v>2.3107141145964123</v>
      </c>
      <c r="R2" s="22">
        <f>Q2/SQRT(S2)</f>
        <v>0.7702380381988041</v>
      </c>
      <c r="S2" s="102">
        <f>COUNT($T$7:T15)</f>
        <v>9</v>
      </c>
    </row>
    <row r="3" spans="1:24" x14ac:dyDescent="0.45">
      <c r="F3" s="101" t="s">
        <v>57</v>
      </c>
      <c r="G3" s="22">
        <f>AVERAGE($M$22:$M$28,E30:E31)</f>
        <v>-123.83072652333334</v>
      </c>
      <c r="H3" s="22">
        <f>_xlfn.STDEV.S($M$22:$M$28,E30:E31)</f>
        <v>29.277352320005221</v>
      </c>
      <c r="I3" s="22">
        <f>H3/SQRT(J3)</f>
        <v>9.7591174400017398</v>
      </c>
      <c r="J3" s="22">
        <f>COUNT($M$22:$M$28,E30:E31)</f>
        <v>9</v>
      </c>
      <c r="O3" s="101" t="s">
        <v>57</v>
      </c>
      <c r="P3" s="102">
        <f>AVERAGE(S7:S15)</f>
        <v>-108.96338277086666</v>
      </c>
      <c r="Q3" s="102">
        <f>_xlfn.STDEV.S($S$7:S15)</f>
        <v>6.3425501073137394</v>
      </c>
      <c r="R3" s="22">
        <f>Q3/SQRT(S3)</f>
        <v>2.1141833691045799</v>
      </c>
      <c r="S3" s="102">
        <f>COUNT($S$7:S15)</f>
        <v>9</v>
      </c>
    </row>
    <row r="6" spans="1:24" x14ac:dyDescent="0.45">
      <c r="A6" s="19" t="s">
        <v>15</v>
      </c>
      <c r="B6" s="20" t="s">
        <v>16</v>
      </c>
      <c r="C6" s="20" t="s">
        <v>17</v>
      </c>
      <c r="D6" s="20" t="s">
        <v>18</v>
      </c>
      <c r="E6" s="20" t="s">
        <v>19</v>
      </c>
      <c r="F6" s="20" t="s">
        <v>20</v>
      </c>
      <c r="G6" s="20" t="s">
        <v>21</v>
      </c>
      <c r="H6" s="20" t="s">
        <v>22</v>
      </c>
      <c r="I6" s="20" t="s">
        <v>23</v>
      </c>
      <c r="J6" s="20" t="s">
        <v>24</v>
      </c>
      <c r="K6" s="20" t="s">
        <v>25</v>
      </c>
      <c r="L6" s="20" t="s">
        <v>26</v>
      </c>
      <c r="M6" s="20" t="s">
        <v>27</v>
      </c>
      <c r="O6" s="22" t="s">
        <v>33</v>
      </c>
      <c r="P6" s="22" t="s">
        <v>34</v>
      </c>
      <c r="Q6" s="22" t="s">
        <v>35</v>
      </c>
      <c r="R6" s="22" t="s">
        <v>36</v>
      </c>
      <c r="S6" s="22" t="s">
        <v>27</v>
      </c>
      <c r="T6" s="22" t="s">
        <v>26</v>
      </c>
      <c r="U6" s="22" t="s">
        <v>37</v>
      </c>
      <c r="V6" s="22" t="s">
        <v>38</v>
      </c>
      <c r="W6" s="22" t="s">
        <v>39</v>
      </c>
      <c r="X6" s="22" t="s">
        <v>40</v>
      </c>
    </row>
    <row r="7" spans="1:24" x14ac:dyDescent="0.45">
      <c r="A7" s="25">
        <v>44028</v>
      </c>
      <c r="B7" s="26" t="s">
        <v>5</v>
      </c>
      <c r="C7" s="27">
        <v>2</v>
      </c>
      <c r="D7" s="27" t="s">
        <v>28</v>
      </c>
      <c r="E7" s="47">
        <v>5</v>
      </c>
      <c r="F7" s="28"/>
      <c r="G7" s="28"/>
      <c r="H7" s="48">
        <v>0.42777777777777781</v>
      </c>
      <c r="I7" s="30">
        <v>44028.427777777775</v>
      </c>
      <c r="J7" s="28"/>
      <c r="K7" s="28">
        <v>8675</v>
      </c>
      <c r="L7" s="27">
        <v>-2.7</v>
      </c>
      <c r="M7" s="27">
        <v>-113</v>
      </c>
      <c r="O7" s="60">
        <v>44028</v>
      </c>
      <c r="P7" s="22">
        <v>7</v>
      </c>
      <c r="Q7" s="58" t="s">
        <v>41</v>
      </c>
      <c r="R7" s="22"/>
      <c r="S7" s="22">
        <v>-102.93313544199999</v>
      </c>
      <c r="T7" s="22">
        <v>-3.4852642011000001</v>
      </c>
      <c r="U7" s="22"/>
      <c r="V7" s="22"/>
      <c r="W7" s="22"/>
      <c r="X7" s="22"/>
    </row>
    <row r="8" spans="1:24" x14ac:dyDescent="0.45">
      <c r="A8" s="25">
        <v>44028</v>
      </c>
      <c r="B8" s="26" t="s">
        <v>5</v>
      </c>
      <c r="C8" s="27">
        <v>2</v>
      </c>
      <c r="D8" s="27" t="s">
        <v>28</v>
      </c>
      <c r="E8" s="47">
        <v>10</v>
      </c>
      <c r="F8" s="28"/>
      <c r="G8" s="28"/>
      <c r="H8" s="48">
        <v>0.43055555555555558</v>
      </c>
      <c r="I8" s="30">
        <v>44028.430555555555</v>
      </c>
      <c r="J8" s="28"/>
      <c r="K8" s="28">
        <v>18000</v>
      </c>
      <c r="L8" s="27">
        <v>-3.7</v>
      </c>
      <c r="M8" s="27">
        <v>-112</v>
      </c>
      <c r="O8" s="60">
        <v>44028</v>
      </c>
      <c r="P8" s="22">
        <v>2</v>
      </c>
      <c r="Q8" s="58" t="s">
        <v>41</v>
      </c>
      <c r="R8" s="22"/>
      <c r="S8" s="22">
        <v>-116.80243101560001</v>
      </c>
      <c r="T8" s="22">
        <v>-10.184045029</v>
      </c>
      <c r="U8" s="22"/>
      <c r="V8" s="22"/>
      <c r="W8" s="22"/>
      <c r="X8" s="22"/>
    </row>
    <row r="9" spans="1:24" x14ac:dyDescent="0.45">
      <c r="A9" s="25">
        <v>44028</v>
      </c>
      <c r="B9" s="26" t="s">
        <v>5</v>
      </c>
      <c r="C9" s="27">
        <v>2</v>
      </c>
      <c r="D9" s="27" t="s">
        <v>28</v>
      </c>
      <c r="E9" s="47">
        <v>25</v>
      </c>
      <c r="F9" s="28"/>
      <c r="G9" s="28"/>
      <c r="H9" s="48">
        <v>0.43888888888888888</v>
      </c>
      <c r="I9" s="30">
        <v>44028.438888888886</v>
      </c>
      <c r="J9" s="28"/>
      <c r="K9" s="28">
        <v>14800</v>
      </c>
      <c r="L9" s="27">
        <v>-18</v>
      </c>
      <c r="M9" s="27">
        <v>-155</v>
      </c>
      <c r="O9" s="60">
        <v>44028</v>
      </c>
      <c r="P9" s="22">
        <v>5</v>
      </c>
      <c r="Q9" s="58" t="s">
        <v>41</v>
      </c>
      <c r="R9" s="22"/>
      <c r="S9" s="22">
        <v>-97.907212933699995</v>
      </c>
      <c r="T9" s="22">
        <v>-7.8155503439</v>
      </c>
      <c r="U9" s="22"/>
      <c r="V9" s="22"/>
      <c r="W9" s="22"/>
      <c r="X9" s="22"/>
    </row>
    <row r="10" spans="1:24" x14ac:dyDescent="0.45">
      <c r="A10" s="19">
        <v>44028</v>
      </c>
      <c r="B10" s="21" t="s">
        <v>5</v>
      </c>
      <c r="C10" s="20">
        <v>2</v>
      </c>
      <c r="D10" s="20" t="s">
        <v>28</v>
      </c>
      <c r="E10" s="45">
        <v>40</v>
      </c>
      <c r="F10" s="22"/>
      <c r="G10" s="22"/>
      <c r="H10" s="46">
        <v>0.4458333333333333</v>
      </c>
      <c r="I10" s="24">
        <v>44028.445833333331</v>
      </c>
      <c r="J10" s="22"/>
      <c r="K10" s="22">
        <v>16000</v>
      </c>
      <c r="L10" s="20">
        <v>-20.7</v>
      </c>
      <c r="M10" s="20">
        <v>-161</v>
      </c>
      <c r="O10" s="60">
        <v>44028</v>
      </c>
      <c r="P10" s="22">
        <v>8</v>
      </c>
      <c r="Q10" s="58" t="s">
        <v>41</v>
      </c>
      <c r="R10" s="22"/>
      <c r="S10" s="22">
        <v>-114.1605226618</v>
      </c>
      <c r="T10" s="22">
        <v>-8.6386584618000004</v>
      </c>
      <c r="U10" s="22"/>
      <c r="V10" s="22"/>
      <c r="W10" s="22"/>
      <c r="X10" s="22"/>
    </row>
    <row r="11" spans="1:24" x14ac:dyDescent="0.45">
      <c r="A11" s="19">
        <v>44028</v>
      </c>
      <c r="B11" s="21" t="s">
        <v>5</v>
      </c>
      <c r="C11" s="20">
        <v>2</v>
      </c>
      <c r="D11" s="20" t="s">
        <v>28</v>
      </c>
      <c r="E11" s="45">
        <v>60</v>
      </c>
      <c r="F11" s="22"/>
      <c r="G11" s="22"/>
      <c r="H11" s="46">
        <v>0.45069444444444445</v>
      </c>
      <c r="I11" s="24">
        <v>44028.450694444444</v>
      </c>
      <c r="J11" s="22"/>
      <c r="K11" s="22">
        <v>16300</v>
      </c>
      <c r="L11" s="20">
        <v>-20.399999999999999</v>
      </c>
      <c r="M11" s="20">
        <v>-163</v>
      </c>
      <c r="O11" s="60">
        <v>44028</v>
      </c>
      <c r="P11" s="22">
        <v>4</v>
      </c>
      <c r="Q11" s="58" t="s">
        <v>41</v>
      </c>
      <c r="R11" s="22"/>
      <c r="S11" s="22">
        <v>-112.76010470759999</v>
      </c>
      <c r="T11" s="22">
        <v>-7.3354203683000003</v>
      </c>
      <c r="U11" s="22"/>
      <c r="V11" s="22"/>
      <c r="W11" s="22"/>
      <c r="X11" s="22"/>
    </row>
    <row r="12" spans="1:24" x14ac:dyDescent="0.45">
      <c r="A12" s="19">
        <v>44028</v>
      </c>
      <c r="B12" s="21" t="s">
        <v>5</v>
      </c>
      <c r="C12" s="20">
        <v>2</v>
      </c>
      <c r="D12" s="20" t="s">
        <v>28</v>
      </c>
      <c r="E12" s="45">
        <v>100</v>
      </c>
      <c r="F12" s="22"/>
      <c r="G12" s="22"/>
      <c r="H12" s="46">
        <v>0.45347222222222222</v>
      </c>
      <c r="I12" s="24">
        <v>44028.453472222223</v>
      </c>
      <c r="J12" s="46">
        <v>0.45694444444444443</v>
      </c>
      <c r="K12" s="22">
        <v>15200</v>
      </c>
      <c r="L12" s="20">
        <v>-21.5</v>
      </c>
      <c r="M12" s="20">
        <v>-167</v>
      </c>
      <c r="O12" s="60">
        <v>44028</v>
      </c>
      <c r="P12" s="22">
        <v>6</v>
      </c>
      <c r="Q12" s="58" t="s">
        <v>41</v>
      </c>
      <c r="R12" s="22"/>
      <c r="S12" s="22">
        <v>-105.2611321297</v>
      </c>
      <c r="T12" s="22">
        <v>-5.6203522976000002</v>
      </c>
      <c r="U12" s="22"/>
      <c r="V12" s="22"/>
      <c r="W12" s="22"/>
      <c r="X12" s="22"/>
    </row>
    <row r="13" spans="1:24" x14ac:dyDescent="0.45">
      <c r="A13" s="25">
        <v>44028</v>
      </c>
      <c r="B13" s="26" t="s">
        <v>5</v>
      </c>
      <c r="C13" s="27">
        <v>3</v>
      </c>
      <c r="D13" s="27" t="s">
        <v>30</v>
      </c>
      <c r="E13" s="47">
        <v>5</v>
      </c>
      <c r="F13" s="28"/>
      <c r="G13" s="28"/>
      <c r="H13" s="48">
        <v>0.48680555555555555</v>
      </c>
      <c r="I13" s="30">
        <v>44028.486805555556</v>
      </c>
      <c r="J13" s="28"/>
      <c r="K13" s="28">
        <v>20000</v>
      </c>
      <c r="L13" s="27">
        <v>-0.8</v>
      </c>
      <c r="M13" s="27">
        <v>-107</v>
      </c>
      <c r="O13" s="60">
        <v>44028</v>
      </c>
      <c r="P13" s="22">
        <v>5</v>
      </c>
      <c r="Q13" s="58" t="s">
        <v>41</v>
      </c>
      <c r="R13" s="22"/>
      <c r="S13" s="22">
        <v>-111.9857416184</v>
      </c>
      <c r="T13" s="22">
        <v>-7.9558357515000004</v>
      </c>
      <c r="U13" s="22"/>
      <c r="V13" s="22"/>
      <c r="W13" s="22"/>
      <c r="X13" s="22"/>
    </row>
    <row r="14" spans="1:24" x14ac:dyDescent="0.45">
      <c r="A14" s="25">
        <v>44028</v>
      </c>
      <c r="B14" s="26" t="s">
        <v>5</v>
      </c>
      <c r="C14" s="27">
        <v>3</v>
      </c>
      <c r="D14" s="27" t="s">
        <v>30</v>
      </c>
      <c r="E14" s="47">
        <v>10</v>
      </c>
      <c r="F14" s="28"/>
      <c r="G14" s="28"/>
      <c r="H14" s="48">
        <v>0.48888888888888887</v>
      </c>
      <c r="I14" s="30">
        <v>44028.488888888889</v>
      </c>
      <c r="J14" s="28"/>
      <c r="K14" s="28">
        <v>24000</v>
      </c>
      <c r="L14" s="27">
        <v>-11</v>
      </c>
      <c r="M14" s="27">
        <v>-136</v>
      </c>
      <c r="O14" s="60">
        <v>44028</v>
      </c>
      <c r="P14" s="22">
        <v>3</v>
      </c>
      <c r="Q14" s="58" t="s">
        <v>41</v>
      </c>
      <c r="R14" s="22"/>
      <c r="S14" s="22">
        <v>-113.73518344129999</v>
      </c>
      <c r="T14" s="22">
        <v>-8.5016122753999994</v>
      </c>
      <c r="U14" s="22"/>
      <c r="V14" s="22"/>
      <c r="W14" s="22"/>
      <c r="X14" s="22"/>
    </row>
    <row r="15" spans="1:24" x14ac:dyDescent="0.45">
      <c r="A15" s="25">
        <v>44028</v>
      </c>
      <c r="B15" s="26" t="s">
        <v>5</v>
      </c>
      <c r="C15" s="27">
        <v>3</v>
      </c>
      <c r="D15" s="27" t="s">
        <v>30</v>
      </c>
      <c r="E15" s="47">
        <v>15</v>
      </c>
      <c r="F15" s="28"/>
      <c r="G15" s="28"/>
      <c r="H15" s="48">
        <v>0.4916666666666667</v>
      </c>
      <c r="I15" s="30">
        <v>44028.491666666669</v>
      </c>
      <c r="J15" s="28"/>
      <c r="K15" s="28">
        <v>25000</v>
      </c>
      <c r="L15" s="27">
        <v>-15.3</v>
      </c>
      <c r="M15" s="27">
        <v>-148</v>
      </c>
      <c r="O15" s="60">
        <v>44028</v>
      </c>
      <c r="P15" s="22">
        <v>1</v>
      </c>
      <c r="Q15" s="58" t="s">
        <v>41</v>
      </c>
      <c r="R15" s="22"/>
      <c r="S15" s="22">
        <v>-105.1249809877</v>
      </c>
      <c r="T15" s="22">
        <v>-3.5808620968999998</v>
      </c>
      <c r="U15" s="22"/>
      <c r="V15" s="22"/>
      <c r="W15" s="22"/>
      <c r="X15" s="22"/>
    </row>
    <row r="16" spans="1:24" x14ac:dyDescent="0.45">
      <c r="A16" s="25">
        <v>44028</v>
      </c>
      <c r="B16" s="26" t="s">
        <v>5</v>
      </c>
      <c r="C16" s="27">
        <v>3</v>
      </c>
      <c r="D16" s="27" t="s">
        <v>30</v>
      </c>
      <c r="E16" s="47">
        <v>25</v>
      </c>
      <c r="F16" s="28"/>
      <c r="G16" s="28"/>
      <c r="H16" s="48">
        <v>0.49444444444444446</v>
      </c>
      <c r="I16" s="30">
        <v>44028.494444444441</v>
      </c>
      <c r="J16" s="28"/>
      <c r="K16" s="28">
        <v>23000</v>
      </c>
      <c r="L16" s="27">
        <v>-22</v>
      </c>
      <c r="M16" s="27">
        <v>-167</v>
      </c>
    </row>
    <row r="17" spans="1:13" x14ac:dyDescent="0.45">
      <c r="A17" s="19">
        <v>44028</v>
      </c>
      <c r="B17" s="21" t="s">
        <v>5</v>
      </c>
      <c r="C17" s="20">
        <v>3</v>
      </c>
      <c r="D17" s="20" t="s">
        <v>30</v>
      </c>
      <c r="E17" s="45">
        <v>40</v>
      </c>
      <c r="F17" s="22"/>
      <c r="G17" s="22"/>
      <c r="H17" s="46">
        <v>0.49722222222222223</v>
      </c>
      <c r="I17" s="24">
        <v>44028.49722222222</v>
      </c>
      <c r="J17" s="22"/>
      <c r="K17" s="22">
        <v>17000</v>
      </c>
      <c r="L17" s="20">
        <v>-21.7</v>
      </c>
      <c r="M17" s="20">
        <v>-166</v>
      </c>
    </row>
    <row r="18" spans="1:13" x14ac:dyDescent="0.45">
      <c r="A18" s="19">
        <v>44028</v>
      </c>
      <c r="B18" s="21" t="s">
        <v>5</v>
      </c>
      <c r="C18" s="20">
        <v>3</v>
      </c>
      <c r="D18" s="20" t="s">
        <v>30</v>
      </c>
      <c r="E18" s="45">
        <v>60</v>
      </c>
      <c r="F18" s="22"/>
      <c r="G18" s="22"/>
      <c r="H18" s="46">
        <v>0.50138888888888888</v>
      </c>
      <c r="I18" s="24">
        <v>44028.501388888886</v>
      </c>
      <c r="J18" s="22"/>
      <c r="K18" s="22">
        <v>20800</v>
      </c>
      <c r="L18" s="20">
        <v>-20.9</v>
      </c>
      <c r="M18" s="20">
        <v>-166</v>
      </c>
    </row>
    <row r="19" spans="1:13" x14ac:dyDescent="0.45">
      <c r="A19" s="19">
        <v>44028</v>
      </c>
      <c r="B19" s="21" t="s">
        <v>5</v>
      </c>
      <c r="C19" s="20">
        <v>3</v>
      </c>
      <c r="D19" s="20" t="s">
        <v>30</v>
      </c>
      <c r="E19" s="45">
        <v>100</v>
      </c>
      <c r="F19" s="22"/>
      <c r="G19" s="22"/>
      <c r="H19" s="46">
        <v>0.50486111111111109</v>
      </c>
      <c r="I19" s="24">
        <v>44028.504861111112</v>
      </c>
      <c r="J19" s="22"/>
      <c r="K19" s="22">
        <v>16000</v>
      </c>
      <c r="L19" s="20">
        <v>-22.2</v>
      </c>
      <c r="M19" s="20">
        <v>-170</v>
      </c>
    </row>
    <row r="21" spans="1:13" x14ac:dyDescent="0.45">
      <c r="A21" s="19" t="s">
        <v>15</v>
      </c>
      <c r="B21" s="20" t="s">
        <v>16</v>
      </c>
      <c r="C21" s="20" t="s">
        <v>17</v>
      </c>
      <c r="D21" s="20" t="s">
        <v>18</v>
      </c>
      <c r="E21" s="20" t="s">
        <v>19</v>
      </c>
      <c r="F21" s="20" t="s">
        <v>20</v>
      </c>
      <c r="G21" s="20" t="s">
        <v>21</v>
      </c>
      <c r="H21" s="20" t="s">
        <v>22</v>
      </c>
      <c r="I21" s="20" t="s">
        <v>23</v>
      </c>
      <c r="J21" s="20" t="s">
        <v>24</v>
      </c>
      <c r="K21" s="20" t="s">
        <v>25</v>
      </c>
      <c r="L21" s="20" t="s">
        <v>26</v>
      </c>
      <c r="M21" s="20" t="s">
        <v>27</v>
      </c>
    </row>
    <row r="22" spans="1:13" x14ac:dyDescent="0.45">
      <c r="A22" s="25">
        <v>44028</v>
      </c>
      <c r="B22" s="26" t="s">
        <v>5</v>
      </c>
      <c r="C22" s="27">
        <v>2</v>
      </c>
      <c r="D22" s="27" t="s">
        <v>28</v>
      </c>
      <c r="E22" s="47">
        <v>5</v>
      </c>
      <c r="F22" s="28"/>
      <c r="G22" s="28"/>
      <c r="H22" s="48">
        <v>0.42777777777777781</v>
      </c>
      <c r="I22" s="30">
        <v>44028.427777777775</v>
      </c>
      <c r="J22" s="28"/>
      <c r="K22" s="28">
        <v>8675</v>
      </c>
      <c r="L22" s="27">
        <v>-2.7</v>
      </c>
      <c r="M22" s="27">
        <v>-113</v>
      </c>
    </row>
    <row r="23" spans="1:13" x14ac:dyDescent="0.45">
      <c r="A23" s="25">
        <v>44028</v>
      </c>
      <c r="B23" s="26" t="s">
        <v>5</v>
      </c>
      <c r="C23" s="27">
        <v>2</v>
      </c>
      <c r="D23" s="27" t="s">
        <v>28</v>
      </c>
      <c r="E23" s="47">
        <v>10</v>
      </c>
      <c r="F23" s="28"/>
      <c r="G23" s="28"/>
      <c r="H23" s="48">
        <v>0.43055555555555558</v>
      </c>
      <c r="I23" s="30">
        <v>44028.430555555555</v>
      </c>
      <c r="J23" s="28"/>
      <c r="K23" s="28">
        <v>18000</v>
      </c>
      <c r="L23" s="27">
        <v>-3.7</v>
      </c>
      <c r="M23" s="27">
        <v>-112</v>
      </c>
    </row>
    <row r="24" spans="1:13" x14ac:dyDescent="0.45">
      <c r="A24" s="25">
        <v>44028</v>
      </c>
      <c r="B24" s="26" t="s">
        <v>5</v>
      </c>
      <c r="C24" s="27">
        <v>2</v>
      </c>
      <c r="D24" s="27" t="s">
        <v>28</v>
      </c>
      <c r="E24" s="47">
        <v>25</v>
      </c>
      <c r="F24" s="28"/>
      <c r="G24" s="28"/>
      <c r="H24" s="48">
        <v>0.43888888888888888</v>
      </c>
      <c r="I24" s="30">
        <v>44028.438888888886</v>
      </c>
      <c r="J24" s="28"/>
      <c r="K24" s="28">
        <v>14800</v>
      </c>
      <c r="L24" s="27">
        <v>-18</v>
      </c>
      <c r="M24" s="27">
        <v>-155</v>
      </c>
    </row>
    <row r="25" spans="1:13" x14ac:dyDescent="0.45">
      <c r="A25" s="25">
        <v>44028</v>
      </c>
      <c r="B25" s="26" t="s">
        <v>5</v>
      </c>
      <c r="C25" s="27">
        <v>3</v>
      </c>
      <c r="D25" s="27" t="s">
        <v>30</v>
      </c>
      <c r="E25" s="47">
        <v>5</v>
      </c>
      <c r="F25" s="28"/>
      <c r="G25" s="28"/>
      <c r="H25" s="48">
        <v>0.48680555555555555</v>
      </c>
      <c r="I25" s="30">
        <v>44028.486805555556</v>
      </c>
      <c r="J25" s="28"/>
      <c r="K25" s="28">
        <v>20000</v>
      </c>
      <c r="L25" s="27">
        <v>-0.8</v>
      </c>
      <c r="M25" s="27">
        <v>-107</v>
      </c>
    </row>
    <row r="26" spans="1:13" x14ac:dyDescent="0.45">
      <c r="A26" s="25">
        <v>44028</v>
      </c>
      <c r="B26" s="26" t="s">
        <v>5</v>
      </c>
      <c r="C26" s="27">
        <v>3</v>
      </c>
      <c r="D26" s="27" t="s">
        <v>30</v>
      </c>
      <c r="E26" s="47">
        <v>10</v>
      </c>
      <c r="F26" s="28"/>
      <c r="G26" s="28"/>
      <c r="H26" s="48">
        <v>0.48888888888888887</v>
      </c>
      <c r="I26" s="30">
        <v>44028.488888888889</v>
      </c>
      <c r="J26" s="28"/>
      <c r="K26" s="28">
        <v>24000</v>
      </c>
      <c r="L26" s="27">
        <v>-11</v>
      </c>
      <c r="M26" s="27">
        <v>-136</v>
      </c>
    </row>
    <row r="27" spans="1:13" x14ac:dyDescent="0.45">
      <c r="A27" s="25">
        <v>44028</v>
      </c>
      <c r="B27" s="26" t="s">
        <v>5</v>
      </c>
      <c r="C27" s="27">
        <v>3</v>
      </c>
      <c r="D27" s="27" t="s">
        <v>30</v>
      </c>
      <c r="E27" s="47">
        <v>15</v>
      </c>
      <c r="F27" s="28"/>
      <c r="G27" s="28"/>
      <c r="H27" s="48">
        <v>0.4916666666666667</v>
      </c>
      <c r="I27" s="30">
        <v>44028.491666666669</v>
      </c>
      <c r="J27" s="28"/>
      <c r="K27" s="28">
        <v>25000</v>
      </c>
      <c r="L27" s="27">
        <v>-15.3</v>
      </c>
      <c r="M27" s="27">
        <v>-148</v>
      </c>
    </row>
    <row r="28" spans="1:13" x14ac:dyDescent="0.45">
      <c r="A28" s="25">
        <v>44028</v>
      </c>
      <c r="B28" s="26" t="s">
        <v>5</v>
      </c>
      <c r="C28" s="27">
        <v>3</v>
      </c>
      <c r="D28" s="27" t="s">
        <v>30</v>
      </c>
      <c r="E28" s="47">
        <v>25</v>
      </c>
      <c r="F28" s="28"/>
      <c r="G28" s="28"/>
      <c r="H28" s="48">
        <v>0.49444444444444446</v>
      </c>
      <c r="I28" s="30">
        <v>44028.494444444441</v>
      </c>
      <c r="J28" s="28"/>
      <c r="K28" s="28">
        <v>23000</v>
      </c>
      <c r="L28" s="27">
        <v>-22</v>
      </c>
      <c r="M28" s="27">
        <v>-167</v>
      </c>
    </row>
    <row r="29" spans="1:13" x14ac:dyDescent="0.45">
      <c r="A29" s="22" t="s">
        <v>33</v>
      </c>
      <c r="B29" s="22" t="s">
        <v>34</v>
      </c>
      <c r="C29" s="22" t="s">
        <v>35</v>
      </c>
      <c r="D29" s="22" t="s">
        <v>36</v>
      </c>
      <c r="E29" s="22" t="s">
        <v>27</v>
      </c>
      <c r="F29" s="22" t="s">
        <v>26</v>
      </c>
      <c r="G29" s="22" t="s">
        <v>37</v>
      </c>
      <c r="H29" s="22" t="s">
        <v>38</v>
      </c>
      <c r="I29" s="22" t="s">
        <v>39</v>
      </c>
      <c r="J29" s="22" t="s">
        <v>40</v>
      </c>
    </row>
    <row r="30" spans="1:13" x14ac:dyDescent="0.45">
      <c r="A30" s="60">
        <v>44028</v>
      </c>
      <c r="B30" s="22">
        <v>15</v>
      </c>
      <c r="C30" s="58" t="s">
        <v>43</v>
      </c>
      <c r="D30" s="22"/>
      <c r="E30" s="22">
        <v>-77.851691595800006</v>
      </c>
      <c r="F30" s="22">
        <v>-0.1143579919</v>
      </c>
      <c r="G30" s="22"/>
      <c r="H30" s="22"/>
      <c r="I30" s="22"/>
      <c r="J30" s="22"/>
    </row>
    <row r="31" spans="1:13" x14ac:dyDescent="0.45">
      <c r="A31" s="60">
        <v>44028</v>
      </c>
      <c r="B31" s="22">
        <v>25</v>
      </c>
      <c r="C31" s="58" t="s">
        <v>43</v>
      </c>
      <c r="D31" s="22"/>
      <c r="E31" s="22">
        <v>-98.624847114199994</v>
      </c>
      <c r="F31" s="22">
        <v>-7.9680350425000004</v>
      </c>
      <c r="G31" s="22"/>
      <c r="H31" s="22"/>
      <c r="I31" s="22"/>
      <c r="J3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ONAQ</vt:lpstr>
      <vt:lpstr>ONAQ1</vt:lpstr>
      <vt:lpstr>ONAQ2</vt:lpstr>
      <vt:lpstr>ONAQ3</vt:lpstr>
      <vt:lpstr>ONAQ4</vt:lpstr>
      <vt:lpstr>ONAQ5</vt:lpstr>
      <vt:lpstr>ONAQ6</vt:lpstr>
      <vt:lpstr>ONAQ7</vt:lpstr>
      <vt:lpstr>ONAQ8</vt:lpstr>
      <vt:lpstr>ONAQ9</vt:lpstr>
      <vt:lpstr>ONAQ10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Katarena Matos</dc:creator>
  <cp:lastModifiedBy>Katarena Matos</cp:lastModifiedBy>
  <dcterms:created xsi:type="dcterms:W3CDTF">2024-03-19T03:37:34Z</dcterms:created>
  <dcterms:modified xsi:type="dcterms:W3CDTF">2025-05-02T00:39:20Z</dcterms:modified>
</cp:coreProperties>
</file>